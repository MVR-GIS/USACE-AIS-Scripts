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webextensions/webextension1.xml" ContentType="application/vnd.ms-office.webextension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HYPACK 2026\_Dubuque\IWW_PE_1800-1820_26A\Sort\"/>
    </mc:Choice>
  </mc:AlternateContent>
  <xr:revisionPtr revIDLastSave="0" documentId="13_ncr:1_{C6FCDBD2-245F-489B-873D-FCFDBE51752C}" xr6:coauthVersionLast="47" xr6:coauthVersionMax="47" xr10:uidLastSave="{00000000-0000-0000-0000-000000000000}"/>
  <bookViews>
    <workbookView xWindow="14028" yWindow="-14424" windowWidth="21600" windowHeight="12684" activeTab="5" xr2:uid="{00000000-000D-0000-FFFF-FFFF00000000}"/>
  </bookViews>
  <sheets>
    <sheet name="NTRP" sheetId="1" r:id="rId1"/>
    <sheet name="FLAT POOL ELE." sheetId="6" r:id="rId2"/>
    <sheet name="Gage Data" sheetId="3" r:id="rId3"/>
    <sheet name="GAGE ZERO DATA" sheetId="7" r:id="rId4"/>
    <sheet name="RG_DATA" sheetId="4" r:id="rId5"/>
    <sheet name="Meta Data" sheetId="5" r:id="rId6"/>
    <sheet name="Elevation Converter" sheetId="8" r:id="rId7"/>
    <sheet name="Module1" sheetId="2" state="veryHidden" r:id="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H9" i="8"/>
  <c r="J15" i="1" a="1"/>
  <c r="J15" i="1" s="1"/>
  <c r="E15" i="1"/>
  <c r="H15" i="1"/>
  <c r="I2" i="1"/>
  <c r="H2" i="1"/>
  <c r="E20" i="6"/>
  <c r="B6" i="5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6" i="7"/>
  <c r="G5" i="7"/>
  <c r="G4" i="7"/>
  <c r="G3" i="7"/>
  <c r="E59" i="6"/>
  <c r="E58" i="6"/>
  <c r="E57" i="6"/>
  <c r="E56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7" i="6"/>
  <c r="E36" i="6"/>
  <c r="E35" i="6"/>
  <c r="E34" i="6"/>
  <c r="E33" i="6"/>
  <c r="E32" i="6"/>
  <c r="E31" i="6"/>
  <c r="E30" i="6"/>
  <c r="E29" i="6"/>
  <c r="E28" i="6"/>
  <c r="E23" i="6"/>
  <c r="E22" i="6"/>
  <c r="E21" i="6"/>
  <c r="E15" i="6"/>
  <c r="E14" i="6"/>
  <c r="E13" i="6"/>
  <c r="E11" i="6"/>
  <c r="E10" i="6"/>
  <c r="E9" i="6"/>
  <c r="E8" i="6"/>
  <c r="E7" i="6"/>
  <c r="E6" i="6"/>
  <c r="E5" i="6"/>
  <c r="E4" i="6"/>
  <c r="E3" i="6"/>
  <c r="B16" i="5"/>
  <c r="B19" i="5"/>
  <c r="C9" i="1"/>
  <c r="F17" i="1"/>
  <c r="I17" i="1"/>
  <c r="B18" i="5" a="1"/>
  <c r="B17" i="5" a="1"/>
  <c r="B17" i="5" l="1"/>
  <c r="E14" i="1"/>
  <c r="E16" i="1" s="1"/>
  <c r="H17" i="1"/>
  <c r="E17" i="1"/>
  <c r="H14" i="1"/>
  <c r="H16" i="1" s="1"/>
  <c r="B18" i="5"/>
  <c r="B20" i="5" l="1"/>
  <c r="J16" i="1"/>
  <c r="L16" i="1" s="1" a="1"/>
  <c r="L16" i="1" s="1"/>
  <c r="B21" i="5"/>
  <c r="J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&quot;RG_UPPER&quot;;Extended Properties=&quot;&quot;" commandType="0"/>
  </connection>
  <connection id="2" xr16:uid="{00000000-0015-0000-FFFF-FFFF01000000}" keepAlive="1" name="Connection1" type="5" refreshedVersion="0" background="1">
    <dbPr connection="Provider=Microsoft.Mashup.OleDb.1;Data Source=$Workbook$;Location=&quot;RG_UPPER&quot;;Extended Properties=&quot;&quot;" commandType="0"/>
  </connection>
  <connection id="3" xr16:uid="{00000000-0015-0000-FFFF-FFFF02000000}" keepAlive="1" name="Connection10" type="5" refreshedVersion="0" background="1">
    <dbPr connection="Provider=Microsoft.Mashup.OleDb.1;Data Source=$Workbook$;Location=&quot;RG_LOWER&quot;;Extended Properties=&quot;&quot;" commandType="0"/>
  </connection>
  <connection id="4" xr16:uid="{00000000-0015-0000-FFFF-FFFF03000000}" keepAlive="1" name="Connection100" type="5" refreshedVersion="0" background="1">
    <dbPr connection="Provider=Microsoft.Mashup.OleDb.1;Data Source=$Workbook$;Location=&quot;RG_LOWER&quot;;Extended Properties=&quot;&quot;" commandType="0"/>
  </connection>
  <connection id="5" xr16:uid="{00000000-0015-0000-FFFF-FFFF04000000}" keepAlive="1" name="Connection101" type="5" refreshedVersion="0" saveData="1">
    <dbPr connection="Provider=Microsoft.Mashup.OleDb.1;Data Source=$Workbook$;Location=&quot;RG_UPPER&quot;;Extended Properties=&quot;&quot;" commandType="0"/>
  </connection>
  <connection id="6" xr16:uid="{00000000-0015-0000-FFFF-FFFF05000000}" keepAlive="1" name="Connection102" type="5" refreshedVersion="0" background="1">
    <dbPr connection="Provider=Microsoft.Mashup.OleDb.1;Data Source=$Workbook$;Location=&quot;RG_LOWER&quot;;Extended Properties=&quot;&quot;" commandType="0"/>
  </connection>
  <connection id="7" xr16:uid="{2A1181E5-7254-4062-AE6D-F267E9DE923F}" keepAlive="1" name="Connection103" type="5" refreshedVersion="0" background="1">
    <dbPr connection="Provider=Microsoft.Mashup.OleDb.1;Data Source=$Workbook$;Location=&quot;RG_UPPER&quot;;Extended Properties=&quot;&quot;" commandType="0"/>
  </connection>
  <connection id="8" xr16:uid="{6BFFBC3A-2CFB-4C3E-A34C-AF3623CEFBB1}" keepAlive="1" name="Connection104" type="5" refreshedVersion="0" background="1">
    <dbPr connection="Provider=Microsoft.Mashup.OleDb.1;Data Source=$Workbook$;Location=&quot;RG_LOWER&quot;;Extended Properties=&quot;&quot;" commandType="0"/>
  </connection>
  <connection id="9" xr16:uid="{6F5E0A90-856A-4369-BB16-ED75E2A1E6D4}" keepAlive="1" name="Connection105" type="5" refreshedVersion="0" background="1">
    <dbPr connection="Provider=Microsoft.Mashup.OleDb.1;Data Source=$Workbook$;Location=&quot;RG_UPPER&quot;;Extended Properties=&quot;&quot;" commandType="0"/>
  </connection>
  <connection id="10" xr16:uid="{BF1A605A-6D3C-4F0D-96DA-B7B2D154D797}" keepAlive="1" name="Connection106" type="5" refreshedVersion="0" background="1">
    <dbPr connection="Provider=Microsoft.Mashup.OleDb.1;Data Source=$Workbook$;Location=&quot;RG_LOWER&quot;;Extended Properties=&quot;&quot;" commandType="0"/>
  </connection>
  <connection id="11" xr16:uid="{B2261138-6CF2-45EA-A045-1B9316882C65}" keepAlive="1" name="Connection107" type="5" refreshedVersion="0" background="1">
    <dbPr connection="Provider=Microsoft.Mashup.OleDb.1;Data Source=$Workbook$;Location=&quot;RG_UPPER&quot;;Extended Properties=&quot;&quot;" commandType="0"/>
  </connection>
  <connection id="12" xr16:uid="{650F5286-7555-4BCB-B85F-07648765AB37}" keepAlive="1" name="Connection108" type="5" refreshedVersion="0" background="1">
    <dbPr connection="Provider=Microsoft.Mashup.OleDb.1;Data Source=$Workbook$;Location=&quot;RG_LOWER&quot;;Extended Properties=&quot;&quot;" commandType="0"/>
  </connection>
  <connection id="13" xr16:uid="{39AE6E4B-0694-41E8-86B9-4FCAA157CD02}" keepAlive="1" name="Connection109" type="5" refreshedVersion="0" background="1">
    <dbPr connection="Provider=Microsoft.Mashup.OleDb.1;Data Source=$Workbook$;Location=&quot;RG_UPPER&quot;;Extended Properties=&quot;&quot;" commandType="0"/>
  </connection>
  <connection id="14" xr16:uid="{00000000-0015-0000-FFFF-FFFF06000000}" keepAlive="1" name="Connection11" type="5" refreshedVersion="0" saveData="1">
    <dbPr connection="Provider=Microsoft.Mashup.OleDb.1;Data Source=$Workbook$;Location=&quot;RG_UPPER&quot;;Extended Properties=&quot;&quot;" commandType="0"/>
  </connection>
  <connection id="15" xr16:uid="{280735AD-CEF3-407F-B639-1630D452FCA9}" keepAlive="1" name="Connection110" type="5" refreshedVersion="0" background="1">
    <dbPr connection="Provider=Microsoft.Mashup.OleDb.1;Data Source=$Workbook$;Location=&quot;RG_LOWER&quot;;Extended Properties=&quot;&quot;" commandType="0"/>
  </connection>
  <connection id="16" xr16:uid="{E582C02F-43EC-4F4A-8420-285A83470438}" keepAlive="1" name="Connection111" type="5" refreshedVersion="0" background="1">
    <dbPr connection="Provider=Microsoft.Mashup.OleDb.1;Data Source=$Workbook$;Location=&quot;RG_UPPER&quot;;Extended Properties=&quot;&quot;" commandType="0"/>
  </connection>
  <connection id="17" xr16:uid="{44CE7A0A-F261-46C1-9925-B53D890543F9}" keepAlive="1" name="Connection112" type="5" refreshedVersion="0" background="1">
    <dbPr connection="Provider=Microsoft.Mashup.OleDb.1;Data Source=$Workbook$;Location=&quot;RG_LOWER&quot;;Extended Properties=&quot;&quot;" commandType="0"/>
  </connection>
  <connection id="18" xr16:uid="{BB5D2AF4-3CFC-44CE-85F2-49E1C44CE815}" keepAlive="1" name="Connection113" type="5" refreshedVersion="0" background="1">
    <dbPr connection="Provider=Microsoft.Mashup.OleDb.1;Data Source=$Workbook$;Location=&quot;RG_UPPER&quot;;Extended Properties=&quot;&quot;" commandType="0"/>
  </connection>
  <connection id="19" xr16:uid="{D03A2582-F41B-4230-B6EC-FFEF92695CA3}" keepAlive="1" name="Connection114" type="5" refreshedVersion="0" background="1">
    <dbPr connection="Provider=Microsoft.Mashup.OleDb.1;Data Source=$Workbook$;Location=&quot;RG_LOWER&quot;;Extended Properties=&quot;&quot;" commandType="0"/>
  </connection>
  <connection id="20" xr16:uid="{C8566CFF-9CCE-4F16-A29A-6B05DD06E97D}" keepAlive="1" name="Connection115" type="5" refreshedVersion="0" background="1">
    <dbPr connection="Provider=Microsoft.Mashup.OleDb.1;Data Source=$Workbook$;Location=&quot;RG_UPPER&quot;;Extended Properties=&quot;&quot;" commandType="0"/>
  </connection>
  <connection id="21" xr16:uid="{AAC459C5-D494-498E-AC58-9FC98A12A1FD}" keepAlive="1" name="Connection116" type="5" refreshedVersion="0" background="1">
    <dbPr connection="Provider=Microsoft.Mashup.OleDb.1;Data Source=$Workbook$;Location=&quot;RG_LOWER&quot;;Extended Properties=&quot;&quot;" commandType="0"/>
  </connection>
  <connection id="22" xr16:uid="{A8A0B5F1-E189-4EE8-897A-D2C8512A3D68}" keepAlive="1" name="Connection117" type="5" refreshedVersion="0" background="1">
    <dbPr connection="Provider=Microsoft.Mashup.OleDb.1;Data Source=$Workbook$;Location=&quot;RG_UPPER&quot;;Extended Properties=&quot;&quot;" commandType="0"/>
  </connection>
  <connection id="23" xr16:uid="{828695E2-4958-47E3-829F-0C8C64948747}" keepAlive="1" name="Connection118" type="5" refreshedVersion="0" background="1">
    <dbPr connection="Provider=Microsoft.Mashup.OleDb.1;Data Source=$Workbook$;Location=&quot;RG_LOWER&quot;;Extended Properties=&quot;&quot;" commandType="0"/>
  </connection>
  <connection id="24" xr16:uid="{4120E3C8-C7D9-4888-8549-123B964EB7E6}" keepAlive="1" name="Connection119" type="5" refreshedVersion="0" background="1">
    <dbPr connection="Provider=Microsoft.Mashup.OleDb.1;Data Source=$Workbook$;Location=&quot;RG_UPPER&quot;;Extended Properties=&quot;&quot;" commandType="0"/>
  </connection>
  <connection id="25" xr16:uid="{00000000-0015-0000-FFFF-FFFF07000000}" keepAlive="1" name="Connection12" type="5" refreshedVersion="0" background="1">
    <dbPr connection="Provider=Microsoft.Mashup.OleDb.1;Data Source=$Workbook$;Location=&quot;RG_UPPER&quot;;Extended Properties=&quot;&quot;" commandType="0"/>
  </connection>
  <connection id="26" xr16:uid="{5442E1D7-BF59-4241-81D4-C74E6852F753}" keepAlive="1" name="Connection120" type="5" refreshedVersion="0" background="1">
    <dbPr connection="Provider=Microsoft.Mashup.OleDb.1;Data Source=$Workbook$;Location=&quot;RG_LOWER&quot;;Extended Properties=&quot;&quot;" commandType="0"/>
  </connection>
  <connection id="27" xr16:uid="{B7176D81-CAED-4562-AE8E-68C3C07413D4}" keepAlive="1" name="Connection121" type="5" refreshedVersion="0" background="1">
    <dbPr connection="Provider=Microsoft.Mashup.OleDb.1;Data Source=$Workbook$;Location=&quot;RG_UPPER&quot;;Extended Properties=&quot;&quot;" commandType="0"/>
  </connection>
  <connection id="28" xr16:uid="{E4B42A5A-D25D-4658-BEE2-002B30302193}" keepAlive="1" name="Connection122" type="5" refreshedVersion="0" background="1">
    <dbPr connection="Provider=Microsoft.Mashup.OleDb.1;Data Source=$Workbook$;Location=&quot;RG_LOWER&quot;;Extended Properties=&quot;&quot;" commandType="0"/>
  </connection>
  <connection id="29" xr16:uid="{AA18D6AC-5DA3-42C1-922F-AE6EF7E07FC6}" keepAlive="1" name="Connection123" type="5" refreshedVersion="0" background="1">
    <dbPr connection="Provider=Microsoft.Mashup.OleDb.1;Data Source=$Workbook$;Location=&quot;RG_UPPER&quot;;Extended Properties=&quot;&quot;" commandType="0"/>
  </connection>
  <connection id="30" xr16:uid="{33106DB3-5B48-46C2-BE45-5C801283508D}" keepAlive="1" name="Connection124" type="5" refreshedVersion="0" background="1">
    <dbPr connection="Provider=Microsoft.Mashup.OleDb.1;Data Source=$Workbook$;Location=&quot;RG_LOWER&quot;;Extended Properties=&quot;&quot;" commandType="0"/>
  </connection>
  <connection id="31" xr16:uid="{7CF4B826-1EC3-458D-97D8-40E6BED7C6C6}" keepAlive="1" name="Connection125" type="5" refreshedVersion="0" background="1">
    <dbPr connection="Provider=Microsoft.Mashup.OleDb.1;Data Source=$Workbook$;Location=&quot;RG_UPPER&quot;;Extended Properties=&quot;&quot;" commandType="0"/>
  </connection>
  <connection id="32" xr16:uid="{CE444A03-0D2C-4B08-B2E2-99CFD496DBDA}" keepAlive="1" name="Connection126" type="5" refreshedVersion="0" background="1">
    <dbPr connection="Provider=Microsoft.Mashup.OleDb.1;Data Source=$Workbook$;Location=&quot;RG_LOWER&quot;;Extended Properties=&quot;&quot;" commandType="0"/>
  </connection>
  <connection id="33" xr16:uid="{1DB6967C-838A-4086-946D-3EAAF6A2B44B}" keepAlive="1" name="Connection127" type="5" refreshedVersion="0" background="1">
    <dbPr connection="Provider=Microsoft.Mashup.OleDb.1;Data Source=$Workbook$;Location=&quot;RG_UPPER&quot;;Extended Properties=&quot;&quot;" commandType="0"/>
  </connection>
  <connection id="34" xr16:uid="{921F5C93-F31E-48D3-8071-EBDBA621D192}" keepAlive="1" name="Connection128" type="5" refreshedVersion="0" background="1">
    <dbPr connection="Provider=Microsoft.Mashup.OleDb.1;Data Source=$Workbook$;Location=&quot;RG_LOWER&quot;;Extended Properties=&quot;&quot;" commandType="0"/>
  </connection>
  <connection id="35" xr16:uid="{1D9C37E6-3259-4DCE-9CC1-BD3D46303845}" keepAlive="1" name="Connection129" type="5" refreshedVersion="0" background="1">
    <dbPr connection="Provider=Microsoft.Mashup.OleDb.1;Data Source=$Workbook$;Location=&quot;RG_UPPER&quot;;Extended Properties=&quot;&quot;" commandType="0"/>
  </connection>
  <connection id="36" xr16:uid="{00000000-0015-0000-FFFF-FFFF08000000}" keepAlive="1" name="Connection13" type="5" refreshedVersion="0" background="1">
    <dbPr connection="Provider=Microsoft.Mashup.OleDb.1;Data Source=$Workbook$;Location=&quot;RG_LOWER&quot;;Extended Properties=&quot;&quot;" commandType="0"/>
  </connection>
  <connection id="37" xr16:uid="{96373E17-0B09-4768-8DEF-2B5FC4DA08F7}" keepAlive="1" name="Connection130" type="5" refreshedVersion="0" background="1">
    <dbPr connection="Provider=Microsoft.Mashup.OleDb.1;Data Source=$Workbook$;Location=&quot;RG_LOWER&quot;;Extended Properties=&quot;&quot;" commandType="0"/>
  </connection>
  <connection id="38" xr16:uid="{515B9583-0352-47F2-907D-4FC4C015E001}" keepAlive="1" name="Connection131" type="5" refreshedVersion="0" background="1">
    <dbPr connection="Provider=Microsoft.Mashup.OleDb.1;Data Source=$Workbook$;Location=&quot;RG_UPPER&quot;;Extended Properties=&quot;&quot;" commandType="0"/>
  </connection>
  <connection id="39" xr16:uid="{E3BA9A4C-F77C-40C8-8B27-F8A140CE7B96}" keepAlive="1" name="Connection132" type="5" refreshedVersion="0" background="1">
    <dbPr connection="Provider=Microsoft.Mashup.OleDb.1;Data Source=$Workbook$;Location=&quot;RG_LOWER&quot;;Extended Properties=&quot;&quot;" commandType="0"/>
  </connection>
  <connection id="40" xr16:uid="{A9E0E98B-0392-4DF4-AD4B-95A5F2FDE036}" keepAlive="1" name="Connection133" type="5" refreshedVersion="0" background="1">
    <dbPr connection="Provider=Microsoft.Mashup.OleDb.1;Data Source=$Workbook$;Location=&quot;RG_UPPER&quot;;Extended Properties=&quot;&quot;" commandType="0"/>
  </connection>
  <connection id="41" xr16:uid="{14D7E6E2-DD2C-4702-A7C7-1536BF998B88}" keepAlive="1" name="Connection134" type="5" refreshedVersion="0" background="1">
    <dbPr connection="Provider=Microsoft.Mashup.OleDb.1;Data Source=$Workbook$;Location=&quot;RG_LOWER&quot;;Extended Properties=&quot;&quot;" commandType="0"/>
  </connection>
  <connection id="42" xr16:uid="{518337CC-C615-495C-BEF1-5C4BF961901B}" keepAlive="1" name="Connection135" type="5" refreshedVersion="0" background="1">
    <dbPr connection="Provider=Microsoft.Mashup.OleDb.1;Data Source=$Workbook$;Location=&quot;RG_UPPER&quot;;Extended Properties=&quot;&quot;" commandType="0"/>
  </connection>
  <connection id="43" xr16:uid="{288AB547-3BFB-4492-ACD6-956A9A7C2D15}" keepAlive="1" name="Connection136" type="5" refreshedVersion="0" background="1">
    <dbPr connection="Provider=Microsoft.Mashup.OleDb.1;Data Source=$Workbook$;Location=&quot;RG_LOWER&quot;;Extended Properties=&quot;&quot;" commandType="0"/>
  </connection>
  <connection id="44" xr16:uid="{81BC9A3F-4D6E-476B-971F-B279DBDBCCEE}" keepAlive="1" name="Connection137" type="5" refreshedVersion="0" background="1">
    <dbPr connection="Provider=Microsoft.Mashup.OleDb.1;Data Source=$Workbook$;Location=&quot;RG_UPPER&quot;;Extended Properties=&quot;&quot;" commandType="0"/>
  </connection>
  <connection id="45" xr16:uid="{4A2AC982-5B67-4A5B-98E5-D79815D51E26}" keepAlive="1" name="Connection138" type="5" refreshedVersion="0" background="1">
    <dbPr connection="Provider=Microsoft.Mashup.OleDb.1;Data Source=$Workbook$;Location=&quot;RG_LOWER&quot;;Extended Properties=&quot;&quot;" commandType="0"/>
  </connection>
  <connection id="46" xr16:uid="{2543A9A2-CD96-466A-AE58-542AB4353A2A}" keepAlive="1" name="Connection139" type="5" refreshedVersion="0" background="1">
    <dbPr connection="Provider=Microsoft.Mashup.OleDb.1;Data Source=$Workbook$;Location=&quot;RG_UPPER&quot;;Extended Properties=&quot;&quot;" commandType="0"/>
  </connection>
  <connection id="47" xr16:uid="{00000000-0015-0000-FFFF-FFFF09000000}" keepAlive="1" name="Connection14" type="5" refreshedVersion="0" saveData="1">
    <dbPr connection="Provider=Microsoft.Mashup.OleDb.1;Data Source=$Workbook$;Location=&quot;RG_UPPER&quot;;Extended Properties=&quot;&quot;" commandType="0"/>
  </connection>
  <connection id="48" xr16:uid="{08F4EA6F-4862-4884-ADDF-9E5DB5D78881}" keepAlive="1" name="Connection140" type="5" refreshedVersion="0" background="1">
    <dbPr connection="Provider=Microsoft.Mashup.OleDb.1;Data Source=$Workbook$;Location=&quot;RG_LOWER&quot;;Extended Properties=&quot;&quot;" commandType="0"/>
  </connection>
  <connection id="49" xr16:uid="{475C1CEB-064F-4856-9357-4C76E2D60B14}" keepAlive="1" name="Connection141" type="5" refreshedVersion="0" background="1">
    <dbPr connection="Provider=Microsoft.Mashup.OleDb.1;Data Source=$Workbook$;Location=&quot;RG_UPPER&quot;;Extended Properties=&quot;&quot;" commandType="0"/>
  </connection>
  <connection id="50" xr16:uid="{621D846E-2CC2-49BC-9F67-7D46EE97D7AD}" keepAlive="1" name="Connection142" type="5" refreshedVersion="0" background="1">
    <dbPr connection="Provider=Microsoft.Mashup.OleDb.1;Data Source=$Workbook$;Location=&quot;RG_LOWER&quot;;Extended Properties=&quot;&quot;" commandType="0"/>
  </connection>
  <connection id="51" xr16:uid="{9E014C6A-5A9F-4902-BC31-9DA0A9419435}" keepAlive="1" name="Connection143" type="5" refreshedVersion="0" background="1">
    <dbPr connection="Provider=Microsoft.Mashup.OleDb.1;Data Source=$Workbook$;Location=&quot;RG_UPPER&quot;;Extended Properties=&quot;&quot;" commandType="0"/>
  </connection>
  <connection id="52" xr16:uid="{4D2B9EE2-FE5C-4CD6-96EC-615CC1D79EA6}" keepAlive="1" name="Connection144" type="5" refreshedVersion="0" background="1">
    <dbPr connection="Provider=Microsoft.Mashup.OleDb.1;Data Source=$Workbook$;Location=&quot;RG_LOWER&quot;;Extended Properties=&quot;&quot;" commandType="0"/>
  </connection>
  <connection id="53" xr16:uid="{80F6FC0B-C574-4C86-B74E-27C3F51E55F4}" keepAlive="1" name="Connection145" type="5" refreshedVersion="0" background="1">
    <dbPr connection="Provider=Microsoft.Mashup.OleDb.1;Data Source=$Workbook$;Location=&quot;RG_UPPER&quot;;Extended Properties=&quot;&quot;" commandType="0"/>
  </connection>
  <connection id="54" xr16:uid="{D3ADF5F5-4385-431F-AD59-EA5A3A93792C}" keepAlive="1" name="Connection146" type="5" refreshedVersion="0" background="1">
    <dbPr connection="Provider=Microsoft.Mashup.OleDb.1;Data Source=$Workbook$;Location=&quot;RG_LOWER&quot;;Extended Properties=&quot;&quot;" commandType="0"/>
  </connection>
  <connection id="55" xr16:uid="{2631864F-0226-4CA2-B524-BCA3BCF372F0}" keepAlive="1" name="Connection147" type="5" refreshedVersion="0" background="1">
    <dbPr connection="Provider=Microsoft.Mashup.OleDb.1;Data Source=$Workbook$;Location=&quot;RG_UPPER&quot;;Extended Properties=&quot;&quot;" commandType="0"/>
  </connection>
  <connection id="56" xr16:uid="{7D2451DB-FEF7-4B9C-968A-B51861F42CD4}" keepAlive="1" name="Connection148" type="5" refreshedVersion="0" background="1">
    <dbPr connection="Provider=Microsoft.Mashup.OleDb.1;Data Source=$Workbook$;Location=&quot;RG_LOWER&quot;;Extended Properties=&quot;&quot;" commandType="0"/>
  </connection>
  <connection id="57" xr16:uid="{4C5992CB-9051-41BE-9908-02AB81425C18}" keepAlive="1" name="Connection149" type="5" refreshedVersion="0" background="1">
    <dbPr connection="Provider=Microsoft.Mashup.OleDb.1;Data Source=$Workbook$;Location=&quot;RG_UPPER&quot;;Extended Properties=&quot;&quot;" commandType="0"/>
  </connection>
  <connection id="58" xr16:uid="{00000000-0015-0000-FFFF-FFFF0A000000}" keepAlive="1" name="Connection15" type="5" refreshedVersion="0" background="1">
    <dbPr connection="Provider=Microsoft.Mashup.OleDb.1;Data Source=$Workbook$;Location=&quot;RG_LOWER&quot;;Extended Properties=&quot;&quot;" commandType="0"/>
  </connection>
  <connection id="59" xr16:uid="{84BEBC65-048A-4851-83A8-93101A3A215B}" keepAlive="1" name="Connection150" type="5" refreshedVersion="0" background="1">
    <dbPr connection="Provider=Microsoft.Mashup.OleDb.1;Data Source=$Workbook$;Location=&quot;RG_LOWER&quot;;Extended Properties=&quot;&quot;" commandType="0"/>
  </connection>
  <connection id="60" xr16:uid="{B4ABEA21-1DC0-4142-8CCE-9B38E2C5B332}" keepAlive="1" name="Connection151" type="5" refreshedVersion="0" background="1">
    <dbPr connection="Provider=Microsoft.Mashup.OleDb.1;Data Source=$Workbook$;Location=&quot;RG_UPPER&quot;;Extended Properties=&quot;&quot;" commandType="0"/>
  </connection>
  <connection id="61" xr16:uid="{F702259E-7622-422A-B192-E67963913E39}" keepAlive="1" name="Connection152" type="5" refreshedVersion="0" background="1">
    <dbPr connection="Provider=Microsoft.Mashup.OleDb.1;Data Source=$Workbook$;Location=&quot;RG_LOWER&quot;;Extended Properties=&quot;&quot;" commandType="0"/>
  </connection>
  <connection id="62" xr16:uid="{9FC89716-CA97-4D67-80F2-C12C21B9DE11}" keepAlive="1" name="Connection153" type="5" refreshedVersion="0" background="1">
    <dbPr connection="Provider=Microsoft.Mashup.OleDb.1;Data Source=$Workbook$;Location=&quot;RG_UPPER&quot;;Extended Properties=&quot;&quot;" commandType="0"/>
  </connection>
  <connection id="63" xr16:uid="{3201D370-A4DA-460B-BD4E-E999D597C991}" keepAlive="1" name="Connection154" type="5" refreshedVersion="0" background="1">
    <dbPr connection="Provider=Microsoft.Mashup.OleDb.1;Data Source=$Workbook$;Location=&quot;RG_LOWER&quot;;Extended Properties=&quot;&quot;" commandType="0"/>
  </connection>
  <connection id="64" xr16:uid="{3CBCE9F5-44FA-402A-A60A-4E5F33AEB0B9}" keepAlive="1" name="Connection155" type="5" refreshedVersion="0" background="1">
    <dbPr connection="Provider=Microsoft.Mashup.OleDb.1;Data Source=$Workbook$;Location=&quot;RG_UPPER&quot;;Extended Properties=&quot;&quot;" commandType="0"/>
  </connection>
  <connection id="65" xr16:uid="{75B20C15-35BA-48D1-87F1-65A1D1B45BE4}" keepAlive="1" name="Connection156" type="5" refreshedVersion="0" background="1">
    <dbPr connection="Provider=Microsoft.Mashup.OleDb.1;Data Source=$Workbook$;Location=&quot;RG_LOWER&quot;;Extended Properties=&quot;&quot;" commandType="0"/>
  </connection>
  <connection id="66" xr16:uid="{F3815F2D-CCC0-452A-8E37-944248FF465D}" keepAlive="1" name="Connection157" type="5" refreshedVersion="0" background="1">
    <dbPr connection="Provider=Microsoft.Mashup.OleDb.1;Data Source=$Workbook$;Location=&quot;RG_UPPER&quot;;Extended Properties=&quot;&quot;" commandType="0"/>
  </connection>
  <connection id="67" xr16:uid="{C9A7FFDE-55F0-4192-96A2-457636B89CCD}" keepAlive="1" name="Connection158" type="5" refreshedVersion="0" background="1">
    <dbPr connection="Provider=Microsoft.Mashup.OleDb.1;Data Source=$Workbook$;Location=&quot;RG_LOWER&quot;;Extended Properties=&quot;&quot;" commandType="0"/>
  </connection>
  <connection id="68" xr16:uid="{76A17E4F-BA65-4D9A-AC69-8B70EDBA6E91}" keepAlive="1" name="Connection159" type="5" refreshedVersion="0" background="1">
    <dbPr connection="Provider=Microsoft.Mashup.OleDb.1;Data Source=$Workbook$;Location=&quot;RG_UPPER&quot;;Extended Properties=&quot;&quot;" commandType="0"/>
  </connection>
  <connection id="69" xr16:uid="{00000000-0015-0000-FFFF-FFFF0B000000}" keepAlive="1" name="Connection16" type="5" refreshedVersion="0" saveData="1">
    <dbPr connection="Provider=Microsoft.Mashup.OleDb.1;Data Source=$Workbook$;Location=&quot;RG_UPPER&quot;;Extended Properties=&quot;&quot;" commandType="0"/>
  </connection>
  <connection id="70" xr16:uid="{1E7DCE80-37D8-4ABC-8609-9CB602362B7A}" keepAlive="1" name="Connection160" type="5" refreshedVersion="0" background="1">
    <dbPr connection="Provider=Microsoft.Mashup.OleDb.1;Data Source=$Workbook$;Location=&quot;RG_LOWER&quot;;Extended Properties=&quot;&quot;" commandType="0"/>
  </connection>
  <connection id="71" xr16:uid="{877CD381-5F58-4B1E-AD7C-054D157C027A}" keepAlive="1" name="Connection161" type="5" refreshedVersion="0" background="1">
    <dbPr connection="Provider=Microsoft.Mashup.OleDb.1;Data Source=$Workbook$;Location=&quot;RG_UPPER&quot;;Extended Properties=&quot;&quot;" commandType="0"/>
  </connection>
  <connection id="72" xr16:uid="{87C3831A-9834-4357-9A35-134DA085BC3F}" keepAlive="1" name="Connection162" type="5" refreshedVersion="0" background="1">
    <dbPr connection="Provider=Microsoft.Mashup.OleDb.1;Data Source=$Workbook$;Location=&quot;RG_LOWER&quot;;Extended Properties=&quot;&quot;" commandType="0"/>
  </connection>
  <connection id="73" xr16:uid="{A17893F6-DCA3-42CC-8232-D6E2E26C93F7}" keepAlive="1" name="Connection163" type="5" refreshedVersion="0" background="1">
    <dbPr connection="Provider=Microsoft.Mashup.OleDb.1;Data Source=$Workbook$;Location=&quot;RG_UPPER&quot;;Extended Properties=&quot;&quot;" commandType="0"/>
  </connection>
  <connection id="74" xr16:uid="{A745F563-91F4-4A82-8879-7D4D252747D1}" keepAlive="1" name="Connection164" type="5" refreshedVersion="0" background="1">
    <dbPr connection="Provider=Microsoft.Mashup.OleDb.1;Data Source=$Workbook$;Location=&quot;RG_LOWER&quot;;Extended Properties=&quot;&quot;" commandType="0"/>
  </connection>
  <connection id="75" xr16:uid="{F6EC3EA1-8CCA-4F5F-88C9-98031AF6AD80}" keepAlive="1" name="Connection165" type="5" refreshedVersion="0" background="1">
    <dbPr connection="Provider=Microsoft.Mashup.OleDb.1;Data Source=$Workbook$;Location=&quot;RG_UPPER&quot;;Extended Properties=&quot;&quot;" commandType="0"/>
  </connection>
  <connection id="76" xr16:uid="{1CD69D9C-08E9-4F2C-B681-322322734B71}" keepAlive="1" name="Connection166" type="5" refreshedVersion="0" background="1">
    <dbPr connection="Provider=Microsoft.Mashup.OleDb.1;Data Source=$Workbook$;Location=&quot;RG_LOWER&quot;;Extended Properties=&quot;&quot;" commandType="0"/>
  </connection>
  <connection id="77" xr16:uid="{1BA9CFC7-576B-4ECF-934F-6F30FC55830F}" keepAlive="1" name="Connection167" type="5" refreshedVersion="0" background="1">
    <dbPr connection="Provider=Microsoft.Mashup.OleDb.1;Data Source=$Workbook$;Location=&quot;RG_UPPER&quot;;Extended Properties=&quot;&quot;" commandType="0"/>
  </connection>
  <connection id="78" xr16:uid="{71D51E6D-CAEE-477E-BF8B-495FE2057981}" keepAlive="1" name="Connection168" type="5" refreshedVersion="0" background="1">
    <dbPr connection="Provider=Microsoft.Mashup.OleDb.1;Data Source=$Workbook$;Location=&quot;RG_LOWER&quot;;Extended Properties=&quot;&quot;" commandType="0"/>
  </connection>
  <connection id="79" xr16:uid="{956DD026-16EE-49B8-B624-6F936AD058D6}" keepAlive="1" name="Connection169" type="5" refreshedVersion="0" background="1">
    <dbPr connection="Provider=Microsoft.Mashup.OleDb.1;Data Source=$Workbook$;Location=&quot;RG_UPPER&quot;;Extended Properties=&quot;&quot;" commandType="0"/>
  </connection>
  <connection id="80" xr16:uid="{00000000-0015-0000-FFFF-FFFF0C000000}" keepAlive="1" name="Connection17" type="5" refreshedVersion="0" background="1">
    <dbPr connection="Provider=Microsoft.Mashup.OleDb.1;Data Source=$Workbook$;Location=&quot;RG_LOWER&quot;;Extended Properties=&quot;&quot;" commandType="0"/>
  </connection>
  <connection id="81" xr16:uid="{F230E567-6F07-419F-8DC7-CEFF0C389D18}" keepAlive="1" name="Connection170" type="5" refreshedVersion="0" background="1">
    <dbPr connection="Provider=Microsoft.Mashup.OleDb.1;Data Source=$Workbook$;Location=&quot;RG_LOWER&quot;;Extended Properties=&quot;&quot;" commandType="0"/>
  </connection>
  <connection id="82" xr16:uid="{2B693566-C6FA-4441-A931-B97E4192C5EE}" keepAlive="1" name="Connection171" type="5" refreshedVersion="0" background="1">
    <dbPr connection="Provider=Microsoft.Mashup.OleDb.1;Data Source=$Workbook$;Location=&quot;RG_UPPER&quot;;Extended Properties=&quot;&quot;" commandType="0"/>
  </connection>
  <connection id="83" xr16:uid="{9BE2B0A1-EA75-498C-800C-8DE107BD5723}" keepAlive="1" name="Connection172" type="5" refreshedVersion="0" background="1">
    <dbPr connection="Provider=Microsoft.Mashup.OleDb.1;Data Source=$Workbook$;Location=&quot;RG_LOWER&quot;;Extended Properties=&quot;&quot;" commandType="0"/>
  </connection>
  <connection id="84" xr16:uid="{574E4D7E-54A7-4633-B77B-7813F791A40D}" keepAlive="1" name="Connection173" type="5" refreshedVersion="0" background="1">
    <dbPr connection="Provider=Microsoft.Mashup.OleDb.1;Data Source=$Workbook$;Location=&quot;RG_UPPER&quot;;Extended Properties=&quot;&quot;" commandType="0"/>
  </connection>
  <connection id="85" xr16:uid="{63AA340D-4B7B-454D-8FE9-38D7CE8376D3}" keepAlive="1" name="Connection174" type="5" refreshedVersion="0" background="1">
    <dbPr connection="Provider=Microsoft.Mashup.OleDb.1;Data Source=$Workbook$;Location=&quot;RG_LOWER&quot;;Extended Properties=&quot;&quot;" commandType="0"/>
  </connection>
  <connection id="86" xr16:uid="{BC4C023C-4CD8-4E82-B51F-56DDDE0203F1}" keepAlive="1" name="Connection175" type="5" refreshedVersion="0" background="1">
    <dbPr connection="Provider=Microsoft.Mashup.OleDb.1;Data Source=$Workbook$;Location=&quot;RG_UPPER&quot;;Extended Properties=&quot;&quot;" commandType="0"/>
  </connection>
  <connection id="87" xr16:uid="{F406E7D5-C80F-4602-BBBB-7A1E1212E1E5}" keepAlive="1" name="Connection176" type="5" refreshedVersion="0" background="1">
    <dbPr connection="Provider=Microsoft.Mashup.OleDb.1;Data Source=$Workbook$;Location=&quot;RG_LOWER&quot;;Extended Properties=&quot;&quot;" commandType="0"/>
  </connection>
  <connection id="88" xr16:uid="{9A8CE093-7A8D-4374-AC21-2FA8057D6F4F}" keepAlive="1" name="Connection177" type="5" refreshedVersion="0" background="1">
    <dbPr connection="Provider=Microsoft.Mashup.OleDb.1;Data Source=$Workbook$;Location=&quot;RG_UPPER&quot;;Extended Properties=&quot;&quot;" commandType="0"/>
  </connection>
  <connection id="89" xr16:uid="{46A9CBC1-FAC4-40EE-B6ED-E1296CF4162C}" keepAlive="1" name="Connection178" type="5" refreshedVersion="0" background="1">
    <dbPr connection="Provider=Microsoft.Mashup.OleDb.1;Data Source=$Workbook$;Location=&quot;RG_LOWER&quot;;Extended Properties=&quot;&quot;" commandType="0"/>
  </connection>
  <connection id="90" xr16:uid="{49BC5911-2EC3-4222-A3BE-E35B01EF719A}" keepAlive="1" name="Connection179" type="5" refreshedVersion="0" background="1">
    <dbPr connection="Provider=Microsoft.Mashup.OleDb.1;Data Source=$Workbook$;Location=&quot;RG_UPPER&quot;;Extended Properties=&quot;&quot;" commandType="0"/>
  </connection>
  <connection id="91" xr16:uid="{00000000-0015-0000-FFFF-FFFF0D000000}" keepAlive="1" name="Connection18" type="5" refreshedVersion="0" saveData="1">
    <dbPr connection="Provider=Microsoft.Mashup.OleDb.1;Data Source=$Workbook$;Location=&quot;RG_UPPER&quot;;Extended Properties=&quot;&quot;" commandType="0"/>
  </connection>
  <connection id="92" xr16:uid="{DC97B833-0FC9-4E72-B565-9F01B96EA7D2}" keepAlive="1" name="Connection180" type="5" refreshedVersion="0" background="1">
    <dbPr connection="Provider=Microsoft.Mashup.OleDb.1;Data Source=$Workbook$;Location=&quot;RG_LOWER&quot;;Extended Properties=&quot;&quot;" commandType="0"/>
  </connection>
  <connection id="93" xr16:uid="{5C005E5C-8AE9-4F5C-8502-20195FE16FB4}" keepAlive="1" name="Connection181" type="5" refreshedVersion="0" background="1">
    <dbPr connection="Provider=Microsoft.Mashup.OleDb.1;Data Source=$Workbook$;Location=&quot;RG_UPPER&quot;;Extended Properties=&quot;&quot;" commandType="0"/>
  </connection>
  <connection id="94" xr16:uid="{DF344D05-B29E-4CD4-8385-C831007CF2FC}" keepAlive="1" name="Connection182" type="5" refreshedVersion="0" background="1">
    <dbPr connection="Provider=Microsoft.Mashup.OleDb.1;Data Source=$Workbook$;Location=&quot;RG_LOWER&quot;;Extended Properties=&quot;&quot;" commandType="0"/>
  </connection>
  <connection id="95" xr16:uid="{CA2F8B66-9EB3-4F37-B63E-EBA9194B359F}" keepAlive="1" name="Connection183" type="5" refreshedVersion="0" background="1">
    <dbPr connection="Provider=Microsoft.Mashup.OleDb.1;Data Source=$Workbook$;Location=&quot;RG_UPPER&quot;;Extended Properties=&quot;&quot;" commandType="0"/>
  </connection>
  <connection id="96" xr16:uid="{39103787-8915-41B8-83A3-F8F75FEA1B85}" keepAlive="1" name="Connection184" type="5" refreshedVersion="0" background="1">
    <dbPr connection="Provider=Microsoft.Mashup.OleDb.1;Data Source=$Workbook$;Location=&quot;RG_LOWER&quot;;Extended Properties=&quot;&quot;" commandType="0"/>
  </connection>
  <connection id="97" xr16:uid="{BBB348A4-3632-4D23-89B5-54B00F8F2FE9}" keepAlive="1" name="Connection185" type="5" refreshedVersion="0" background="1">
    <dbPr connection="Provider=Microsoft.Mashup.OleDb.1;Data Source=$Workbook$;Location=&quot;RG_UPPER&quot;;Extended Properties=&quot;&quot;" commandType="0"/>
  </connection>
  <connection id="98" xr16:uid="{2007ABC5-1F78-4C4C-8E6C-7B163FECDB50}" keepAlive="1" name="Connection186" type="5" refreshedVersion="0" background="1">
    <dbPr connection="Provider=Microsoft.Mashup.OleDb.1;Data Source=$Workbook$;Location=&quot;RG_LOWER&quot;;Extended Properties=&quot;&quot;" commandType="0"/>
  </connection>
  <connection id="99" xr16:uid="{C18AE8D0-4D0D-4FDF-8379-A2857D8ABD46}" keepAlive="1" name="Connection187" type="5" refreshedVersion="0" background="1">
    <dbPr connection="Provider=Microsoft.Mashup.OleDb.1;Data Source=$Workbook$;Location=&quot;RG_UPPER&quot;;Extended Properties=&quot;&quot;" commandType="0"/>
  </connection>
  <connection id="100" xr16:uid="{6E8F2EB5-9713-4966-80C8-AD9DB54F1721}" keepAlive="1" name="Connection188" type="5" refreshedVersion="0" background="1">
    <dbPr connection="Provider=Microsoft.Mashup.OleDb.1;Data Source=$Workbook$;Location=&quot;RG_LOWER&quot;;Extended Properties=&quot;&quot;" commandType="0"/>
  </connection>
  <connection id="101" xr16:uid="{A16E3FCA-61D9-4E81-980C-E17A9B964C69}" keepAlive="1" name="Connection189" type="5" refreshedVersion="0" background="1">
    <dbPr connection="Provider=Microsoft.Mashup.OleDb.1;Data Source=$Workbook$;Location=&quot;RG_UPPER&quot;;Extended Properties=&quot;&quot;" commandType="0"/>
  </connection>
  <connection id="102" xr16:uid="{00000000-0015-0000-FFFF-FFFF0E000000}" keepAlive="1" name="Connection19" type="5" refreshedVersion="0" background="1">
    <dbPr connection="Provider=Microsoft.Mashup.OleDb.1;Data Source=$Workbook$;Location=&quot;RG_LOWER&quot;;Extended Properties=&quot;&quot;" commandType="0"/>
  </connection>
  <connection id="103" xr16:uid="{904B3A4A-D8CC-4949-938C-0B27644A372F}" keepAlive="1" name="Connection190" type="5" refreshedVersion="0" background="1">
    <dbPr connection="Provider=Microsoft.Mashup.OleDb.1;Data Source=$Workbook$;Location=&quot;RG_LOWER&quot;;Extended Properties=&quot;&quot;" commandType="0"/>
  </connection>
  <connection id="104" xr16:uid="{4BC7A00B-98D3-4EC1-B68A-FF4FD5BA2956}" keepAlive="1" name="Connection191" type="5" refreshedVersion="0" background="1">
    <dbPr connection="Provider=Microsoft.Mashup.OleDb.1;Data Source=$Workbook$;Location=&quot;RG_UPPER&quot;;Extended Properties=&quot;&quot;" commandType="0"/>
  </connection>
  <connection id="105" xr16:uid="{1EC0E46A-F429-4C37-9DBE-CB6CB0153BB0}" keepAlive="1" name="Connection192" type="5" refreshedVersion="0" background="1">
    <dbPr connection="Provider=Microsoft.Mashup.OleDb.1;Data Source=$Workbook$;Location=&quot;RG_LOWER&quot;;Extended Properties=&quot;&quot;" commandType="0"/>
  </connection>
  <connection id="106" xr16:uid="{69CB96DF-952B-4722-900F-7DAD0CA1AE5C}" keepAlive="1" name="Connection193" type="5" refreshedVersion="0" background="1">
    <dbPr connection="Provider=Microsoft.Mashup.OleDb.1;Data Source=$Workbook$;Location=&quot;RG_UPPER&quot;;Extended Properties=&quot;&quot;" commandType="0"/>
  </connection>
  <connection id="107" xr16:uid="{E540C4E7-7FE7-4AEE-AE79-2D8FA278DA4F}" keepAlive="1" name="Connection194" type="5" refreshedVersion="0" background="1">
    <dbPr connection="Provider=Microsoft.Mashup.OleDb.1;Data Source=$Workbook$;Location=&quot;RG_LOWER&quot;;Extended Properties=&quot;&quot;" commandType="0"/>
  </connection>
  <connection id="108" xr16:uid="{E7166B1C-DC6B-4FAD-8508-5F1F872C3D9A}" keepAlive="1" name="Connection195" type="5" refreshedVersion="0" background="1">
    <dbPr connection="Provider=Microsoft.Mashup.OleDb.1;Data Source=$Workbook$;Location=&quot;RG_UPPER&quot;;Extended Properties=&quot;&quot;" commandType="0"/>
  </connection>
  <connection id="109" xr16:uid="{ECA40DAA-1EF4-47C9-8798-DF7D41D63B8F}" keepAlive="1" name="Connection196" type="5" refreshedVersion="0" background="1">
    <dbPr connection="Provider=Microsoft.Mashup.OleDb.1;Data Source=$Workbook$;Location=&quot;RG_LOWER&quot;;Extended Properties=&quot;&quot;" commandType="0"/>
  </connection>
  <connection id="110" xr16:uid="{00000000-0015-0000-FFFF-FFFF0F000000}" keepAlive="1" name="Connection2" type="5" refreshedVersion="0" background="1">
    <dbPr connection="Provider=Microsoft.Mashup.OleDb.1;Data Source=$Workbook$;Location=&quot;RG_UPPER&quot;;Extended Properties=&quot;&quot;" commandType="0"/>
  </connection>
  <connection id="111" xr16:uid="{00000000-0015-0000-FFFF-FFFF10000000}" keepAlive="1" name="Connection20" type="5" refreshedVersion="0" saveData="1">
    <dbPr connection="Provider=Microsoft.Mashup.OleDb.1;Data Source=$Workbook$;Location=&quot;RG_UPPER&quot;;Extended Properties=&quot;&quot;" commandType="0"/>
  </connection>
  <connection id="112" xr16:uid="{00000000-0015-0000-FFFF-FFFF11000000}" keepAlive="1" name="Connection21" type="5" refreshedVersion="0" background="1">
    <dbPr connection="Provider=Microsoft.Mashup.OleDb.1;Data Source=$Workbook$;Location=&quot;RG_LOWER&quot;;Extended Properties=&quot;&quot;" commandType="0"/>
  </connection>
  <connection id="113" xr16:uid="{00000000-0015-0000-FFFF-FFFF12000000}" keepAlive="1" name="Connection22" type="5" refreshedVersion="0" saveData="1">
    <dbPr connection="Provider=Microsoft.Mashup.OleDb.1;Data Source=$Workbook$;Location=&quot;RG_UPPER&quot;;Extended Properties=&quot;&quot;" commandType="0"/>
  </connection>
  <connection id="114" xr16:uid="{00000000-0015-0000-FFFF-FFFF13000000}" keepAlive="1" name="Connection23" type="5" refreshedVersion="0" background="1">
    <dbPr connection="Provider=Microsoft.Mashup.OleDb.1;Data Source=$Workbook$;Location=&quot;RG_LOWER&quot;;Extended Properties=&quot;&quot;" commandType="0"/>
  </connection>
  <connection id="115" xr16:uid="{00000000-0015-0000-FFFF-FFFF14000000}" keepAlive="1" name="Connection24" type="5" refreshedVersion="0" saveData="1">
    <dbPr connection="Provider=Microsoft.Mashup.OleDb.1;Data Source=$Workbook$;Location=&quot;RG_UPPER&quot;;Extended Properties=&quot;&quot;" commandType="0"/>
  </connection>
  <connection id="116" xr16:uid="{00000000-0015-0000-FFFF-FFFF15000000}" keepAlive="1" name="Connection25" type="5" refreshedVersion="0" background="1">
    <dbPr connection="Provider=Microsoft.Mashup.OleDb.1;Data Source=$Workbook$;Location=&quot;RG_LOWER&quot;;Extended Properties=&quot;&quot;" commandType="0"/>
  </connection>
  <connection id="117" xr16:uid="{00000000-0015-0000-FFFF-FFFF16000000}" keepAlive="1" name="Connection26" type="5" refreshedVersion="0" saveData="1">
    <dbPr connection="Provider=Microsoft.Mashup.OleDb.1;Data Source=$Workbook$;Location=&quot;RG_UPPER&quot;;Extended Properties=&quot;&quot;" commandType="0"/>
  </connection>
  <connection id="118" xr16:uid="{00000000-0015-0000-FFFF-FFFF17000000}" keepAlive="1" name="Connection27" type="5" refreshedVersion="0" background="1">
    <dbPr connection="Provider=Microsoft.Mashup.OleDb.1;Data Source=$Workbook$;Location=&quot;RG_LOWER&quot;;Extended Properties=&quot;&quot;" commandType="0"/>
  </connection>
  <connection id="119" xr16:uid="{00000000-0015-0000-FFFF-FFFF18000000}" keepAlive="1" name="Connection28" type="5" refreshedVersion="0" saveData="1">
    <dbPr connection="Provider=Microsoft.Mashup.OleDb.1;Data Source=$Workbook$;Location=&quot;RG_UPPER&quot;;Extended Properties=&quot;&quot;" commandType="0"/>
  </connection>
  <connection id="120" xr16:uid="{00000000-0015-0000-FFFF-FFFF19000000}" keepAlive="1" name="Connection29" type="5" refreshedVersion="0" background="1">
    <dbPr connection="Provider=Microsoft.Mashup.OleDb.1;Data Source=$Workbook$;Location=&quot;RG_LOWER&quot;;Extended Properties=&quot;&quot;" commandType="0"/>
  </connection>
  <connection id="121" xr16:uid="{00000000-0015-0000-FFFF-FFFF1A000000}" keepAlive="1" name="Connection3" type="5" refreshedVersion="0" background="1">
    <dbPr connection="Provider=Microsoft.Mashup.OleDb.1;Data Source=$Workbook$;Location=&quot;RG_UPPER&quot;;Extended Properties=&quot;&quot;" commandType="0"/>
  </connection>
  <connection id="122" xr16:uid="{00000000-0015-0000-FFFF-FFFF1B000000}" keepAlive="1" name="Connection30" type="5" refreshedVersion="0" saveData="1">
    <dbPr connection="Provider=Microsoft.Mashup.OleDb.1;Data Source=$Workbook$;Location=&quot;RG_UPPER&quot;;Extended Properties=&quot;&quot;" commandType="0"/>
  </connection>
  <connection id="123" xr16:uid="{00000000-0015-0000-FFFF-FFFF1C000000}" keepAlive="1" name="Connection31" type="5" refreshedVersion="0" background="1">
    <dbPr connection="Provider=Microsoft.Mashup.OleDb.1;Data Source=$Workbook$;Location=&quot;RG_LOWER&quot;;Extended Properties=&quot;&quot;" commandType="0"/>
  </connection>
  <connection id="124" xr16:uid="{00000000-0015-0000-FFFF-FFFF1D000000}" keepAlive="1" name="Connection32" type="5" refreshedVersion="0" saveData="1">
    <dbPr connection="Provider=Microsoft.Mashup.OleDb.1;Data Source=$Workbook$;Location=&quot;RG_UPPER&quot;;Extended Properties=&quot;&quot;" commandType="0"/>
  </connection>
  <connection id="125" xr16:uid="{00000000-0015-0000-FFFF-FFFF1E000000}" keepAlive="1" name="Connection33" type="5" refreshedVersion="0" background="1">
    <dbPr connection="Provider=Microsoft.Mashup.OleDb.1;Data Source=$Workbook$;Location=&quot;RG_LOWER&quot;;Extended Properties=&quot;&quot;" commandType="0"/>
  </connection>
  <connection id="126" xr16:uid="{00000000-0015-0000-FFFF-FFFF1F000000}" keepAlive="1" name="Connection34" type="5" refreshedVersion="0" saveData="1">
    <dbPr connection="Provider=Microsoft.Mashup.OleDb.1;Data Source=$Workbook$;Location=&quot;RG_UPPER&quot;;Extended Properties=&quot;&quot;" commandType="0"/>
  </connection>
  <connection id="127" xr16:uid="{00000000-0015-0000-FFFF-FFFF20000000}" keepAlive="1" name="Connection35" type="5" refreshedVersion="0" background="1">
    <dbPr connection="Provider=Microsoft.Mashup.OleDb.1;Data Source=$Workbook$;Location=&quot;RG_LOWER&quot;;Extended Properties=&quot;&quot;" commandType="0"/>
  </connection>
  <connection id="128" xr16:uid="{00000000-0015-0000-FFFF-FFFF21000000}" keepAlive="1" name="Connection36" type="5" refreshedVersion="0" saveData="1">
    <dbPr connection="Provider=Microsoft.Mashup.OleDb.1;Data Source=$Workbook$;Location=&quot;RG_UPPER&quot;;Extended Properties=&quot;&quot;" commandType="0"/>
  </connection>
  <connection id="129" xr16:uid="{00000000-0015-0000-FFFF-FFFF22000000}" keepAlive="1" name="Connection37" type="5" refreshedVersion="0" background="1">
    <dbPr connection="Provider=Microsoft.Mashup.OleDb.1;Data Source=$Workbook$;Location=&quot;RG_LOWER&quot;;Extended Properties=&quot;&quot;" commandType="0"/>
  </connection>
  <connection id="130" xr16:uid="{00000000-0015-0000-FFFF-FFFF23000000}" keepAlive="1" name="Connection38" type="5" refreshedVersion="0" saveData="1">
    <dbPr connection="Provider=Microsoft.Mashup.OleDb.1;Data Source=$Workbook$;Location=&quot;RG_UPPER&quot;;Extended Properties=&quot;&quot;" commandType="0"/>
  </connection>
  <connection id="131" xr16:uid="{00000000-0015-0000-FFFF-FFFF24000000}" keepAlive="1" name="Connection39" type="5" refreshedVersion="0" background="1">
    <dbPr connection="Provider=Microsoft.Mashup.OleDb.1;Data Source=$Workbook$;Location=&quot;RG_LOWER&quot;;Extended Properties=&quot;&quot;" commandType="0"/>
  </connection>
  <connection id="132" xr16:uid="{00000000-0015-0000-FFFF-FFFF25000000}" keepAlive="1" name="Connection4" type="5" refreshedVersion="0" background="1">
    <dbPr connection="Provider=Microsoft.Mashup.OleDb.1;Data Source=$Workbook$;Location=&quot;RG_LOWER&quot;;Extended Properties=&quot;&quot;" commandType="0"/>
  </connection>
  <connection id="133" xr16:uid="{00000000-0015-0000-FFFF-FFFF26000000}" keepAlive="1" name="Connection40" type="5" refreshedVersion="0" saveData="1">
    <dbPr connection="Provider=Microsoft.Mashup.OleDb.1;Data Source=$Workbook$;Location=&quot;RG_UPPER&quot;;Extended Properties=&quot;&quot;" commandType="0"/>
  </connection>
  <connection id="134" xr16:uid="{00000000-0015-0000-FFFF-FFFF27000000}" keepAlive="1" name="Connection41" type="5" refreshedVersion="0" background="1">
    <dbPr connection="Provider=Microsoft.Mashup.OleDb.1;Data Source=$Workbook$;Location=&quot;RG_LOWER&quot;;Extended Properties=&quot;&quot;" commandType="0"/>
  </connection>
  <connection id="135" xr16:uid="{00000000-0015-0000-FFFF-FFFF28000000}" keepAlive="1" name="Connection42" type="5" refreshedVersion="0" saveData="1">
    <dbPr connection="Provider=Microsoft.Mashup.OleDb.1;Data Source=$Workbook$;Location=&quot;RG_UPPER&quot;;Extended Properties=&quot;&quot;" commandType="0"/>
  </connection>
  <connection id="136" xr16:uid="{00000000-0015-0000-FFFF-FFFF29000000}" keepAlive="1" name="Connection43" type="5" refreshedVersion="0" background="1">
    <dbPr connection="Provider=Microsoft.Mashup.OleDb.1;Data Source=$Workbook$;Location=&quot;RG_LOWER&quot;;Extended Properties=&quot;&quot;" commandType="0"/>
  </connection>
  <connection id="137" xr16:uid="{00000000-0015-0000-FFFF-FFFF2A000000}" keepAlive="1" name="Connection44" type="5" refreshedVersion="0" saveData="1">
    <dbPr connection="Provider=Microsoft.Mashup.OleDb.1;Data Source=$Workbook$;Location=&quot;RG_UPPER&quot;;Extended Properties=&quot;&quot;" commandType="0"/>
  </connection>
  <connection id="138" xr16:uid="{00000000-0015-0000-FFFF-FFFF2B000000}" keepAlive="1" name="Connection45" type="5" refreshedVersion="0" background="1">
    <dbPr connection="Provider=Microsoft.Mashup.OleDb.1;Data Source=$Workbook$;Location=&quot;RG_LOWER&quot;;Extended Properties=&quot;&quot;" commandType="0"/>
  </connection>
  <connection id="139" xr16:uid="{00000000-0015-0000-FFFF-FFFF2C000000}" keepAlive="1" name="Connection46" type="5" refreshedVersion="0" saveData="1">
    <dbPr connection="Provider=Microsoft.Mashup.OleDb.1;Data Source=$Workbook$;Location=&quot;RG_UPPER&quot;;Extended Properties=&quot;&quot;" commandType="0"/>
  </connection>
  <connection id="140" xr16:uid="{00000000-0015-0000-FFFF-FFFF2D000000}" keepAlive="1" name="Connection47" type="5" refreshedVersion="0" background="1">
    <dbPr connection="Provider=Microsoft.Mashup.OleDb.1;Data Source=$Workbook$;Location=&quot;RG_LOWER&quot;;Extended Properties=&quot;&quot;" commandType="0"/>
  </connection>
  <connection id="141" xr16:uid="{00000000-0015-0000-FFFF-FFFF2E000000}" keepAlive="1" name="Connection48" type="5" refreshedVersion="0" background="1">
    <dbPr connection="Provider=Microsoft.Mashup.OleDb.1;Data Source=$Workbook$;Location=&quot;RG_UPPER&quot;;Extended Properties=&quot;&quot;" commandType="0"/>
  </connection>
  <connection id="142" xr16:uid="{00000000-0015-0000-FFFF-FFFF2F000000}" keepAlive="1" name="Connection49" type="5" refreshedVersion="0" background="1">
    <dbPr connection="Provider=Microsoft.Mashup.OleDb.1;Data Source=$Workbook$;Location=&quot;RG_LOWER&quot;;Extended Properties=&quot;&quot;" commandType="0"/>
  </connection>
  <connection id="143" xr16:uid="{00000000-0015-0000-FFFF-FFFF30000000}" keepAlive="1" name="Connection5" type="5" refreshedVersion="0" background="1">
    <dbPr connection="Provider=Microsoft.Mashup.OleDb.1;Data Source=$Workbook$;Location=&quot;RG_UPPER&quot;;Extended Properties=&quot;&quot;" commandType="0"/>
  </connection>
  <connection id="144" xr16:uid="{00000000-0015-0000-FFFF-FFFF31000000}" keepAlive="1" name="Connection50" type="5" refreshedVersion="0" background="1">
    <dbPr connection="Provider=Microsoft.Mashup.OleDb.1;Data Source=$Workbook$;Location=&quot;RG_UPPER&quot;;Extended Properties=&quot;&quot;" commandType="0"/>
  </connection>
  <connection id="145" xr16:uid="{00000000-0015-0000-FFFF-FFFF32000000}" keepAlive="1" name="Connection51" type="5" refreshedVersion="0" background="1">
    <dbPr connection="Provider=Microsoft.Mashup.OleDb.1;Data Source=$Workbook$;Location=&quot;RG_LOWER&quot;;Extended Properties=&quot;&quot;" commandType="0"/>
  </connection>
  <connection id="146" xr16:uid="{00000000-0015-0000-FFFF-FFFF33000000}" keepAlive="1" name="Connection52" type="5" refreshedVersion="0" saveData="1">
    <dbPr connection="Provider=Microsoft.Mashup.OleDb.1;Data Source=$Workbook$;Location=&quot;RG_UPPER&quot;;Extended Properties=&quot;&quot;" commandType="0"/>
  </connection>
  <connection id="147" xr16:uid="{00000000-0015-0000-FFFF-FFFF34000000}" keepAlive="1" name="Connection53" type="5" refreshedVersion="0" background="1">
    <dbPr connection="Provider=Microsoft.Mashup.OleDb.1;Data Source=$Workbook$;Location=&quot;RG_LOWER&quot;;Extended Properties=&quot;&quot;" commandType="0"/>
  </connection>
  <connection id="148" xr16:uid="{00000000-0015-0000-FFFF-FFFF35000000}" keepAlive="1" name="Connection54" type="5" refreshedVersion="0" saveData="1">
    <dbPr connection="Provider=Microsoft.Mashup.OleDb.1;Data Source=$Workbook$;Location=&quot;RG_UPPER&quot;;Extended Properties=&quot;&quot;" commandType="0"/>
  </connection>
  <connection id="149" xr16:uid="{00000000-0015-0000-FFFF-FFFF36000000}" keepAlive="1" name="Connection55" type="5" refreshedVersion="0" background="1">
    <dbPr connection="Provider=Microsoft.Mashup.OleDb.1;Data Source=$Workbook$;Location=&quot;RG_LOWER&quot;;Extended Properties=&quot;&quot;" commandType="0"/>
  </connection>
  <connection id="150" xr16:uid="{00000000-0015-0000-FFFF-FFFF37000000}" keepAlive="1" name="Connection56" type="5" refreshedVersion="0" background="1">
    <dbPr connection="Provider=Microsoft.Mashup.OleDb.1;Data Source=$Workbook$;Location=&quot;RG_UPPER&quot;;Extended Properties=&quot;&quot;" commandType="0"/>
  </connection>
  <connection id="151" xr16:uid="{00000000-0015-0000-FFFF-FFFF38000000}" keepAlive="1" name="Connection57" type="5" refreshedVersion="0" background="1">
    <dbPr connection="Provider=Microsoft.Mashup.OleDb.1;Data Source=$Workbook$;Location=&quot;RG_LOWER&quot;;Extended Properties=&quot;&quot;" commandType="0"/>
  </connection>
  <connection id="152" xr16:uid="{00000000-0015-0000-FFFF-FFFF39000000}" keepAlive="1" name="Connection58" type="5" refreshedVersion="0" background="1">
    <dbPr connection="Provider=Microsoft.Mashup.OleDb.1;Data Source=$Workbook$;Location=&quot;RG_UPPER&quot;;Extended Properties=&quot;&quot;" commandType="0"/>
  </connection>
  <connection id="153" xr16:uid="{00000000-0015-0000-FFFF-FFFF3A000000}" keepAlive="1" name="Connection59" type="5" refreshedVersion="0" background="1">
    <dbPr connection="Provider=Microsoft.Mashup.OleDb.1;Data Source=$Workbook$;Location=&quot;RG_LOWER&quot;;Extended Properties=&quot;&quot;" commandType="0"/>
  </connection>
  <connection id="154" xr16:uid="{00000000-0015-0000-FFFF-FFFF3B000000}" keepAlive="1" name="Connection6" type="5" refreshedVersion="0" background="1">
    <dbPr connection="Provider=Microsoft.Mashup.OleDb.1;Data Source=$Workbook$;Location=&quot;RG_UPPER&quot;;Extended Properties=&quot;&quot;" commandType="0"/>
  </connection>
  <connection id="155" xr16:uid="{00000000-0015-0000-FFFF-FFFF3C000000}" keepAlive="1" name="Connection60" type="5" refreshedVersion="0" background="1">
    <dbPr connection="Provider=Microsoft.Mashup.OleDb.1;Data Source=$Workbook$;Location=&quot;RG_UPPER&quot;;Extended Properties=&quot;&quot;" commandType="0"/>
  </connection>
  <connection id="156" xr16:uid="{00000000-0015-0000-FFFF-FFFF3D000000}" keepAlive="1" name="Connection61" type="5" refreshedVersion="0" background="1">
    <dbPr connection="Provider=Microsoft.Mashup.OleDb.1;Data Source=$Workbook$;Location=&quot;RG_LOWER&quot;;Extended Properties=&quot;&quot;" commandType="0"/>
  </connection>
  <connection id="157" xr16:uid="{00000000-0015-0000-FFFF-FFFF3E000000}" keepAlive="1" name="Connection62" type="5" refreshedVersion="0" background="1">
    <dbPr connection="Provider=Microsoft.Mashup.OleDb.1;Data Source=$Workbook$;Location=&quot;RG_UPPER&quot;;Extended Properties=&quot;&quot;" commandType="0"/>
  </connection>
  <connection id="158" xr16:uid="{00000000-0015-0000-FFFF-FFFF3F000000}" keepAlive="1" name="Connection63" type="5" refreshedVersion="0" background="1">
    <dbPr connection="Provider=Microsoft.Mashup.OleDb.1;Data Source=$Workbook$;Location=&quot;RG_LOWER&quot;;Extended Properties=&quot;&quot;" commandType="0"/>
  </connection>
  <connection id="159" xr16:uid="{00000000-0015-0000-FFFF-FFFF40000000}" keepAlive="1" name="Connection64" type="5" refreshedVersion="0" background="1">
    <dbPr connection="Provider=Microsoft.Mashup.OleDb.1;Data Source=$Workbook$;Location=&quot;RG_UPPER&quot;;Extended Properties=&quot;&quot;" commandType="0"/>
  </connection>
  <connection id="160" xr16:uid="{00000000-0015-0000-FFFF-FFFF41000000}" keepAlive="1" name="Connection65" type="5" refreshedVersion="0" background="1">
    <dbPr connection="Provider=Microsoft.Mashup.OleDb.1;Data Source=$Workbook$;Location=&quot;RG_LOWER&quot;;Extended Properties=&quot;&quot;" commandType="0"/>
  </connection>
  <connection id="161" xr16:uid="{00000000-0015-0000-FFFF-FFFF42000000}" keepAlive="1" name="Connection66" type="5" refreshedVersion="0" background="1">
    <dbPr connection="Provider=Microsoft.Mashup.OleDb.1;Data Source=$Workbook$;Location=&quot;RG_UPPER&quot;;Extended Properties=&quot;&quot;" commandType="0"/>
  </connection>
  <connection id="162" xr16:uid="{00000000-0015-0000-FFFF-FFFF43000000}" keepAlive="1" name="Connection67" type="5" refreshedVersion="0" background="1">
    <dbPr connection="Provider=Microsoft.Mashup.OleDb.1;Data Source=$Workbook$;Location=&quot;RG_LOWER&quot;;Extended Properties=&quot;&quot;" commandType="0"/>
  </connection>
  <connection id="163" xr16:uid="{00000000-0015-0000-FFFF-FFFF44000000}" keepAlive="1" name="Connection68" type="5" refreshedVersion="0" background="1">
    <dbPr connection="Provider=Microsoft.Mashup.OleDb.1;Data Source=$Workbook$;Location=&quot;RG_UPPER&quot;;Extended Properties=&quot;&quot;" commandType="0"/>
  </connection>
  <connection id="164" xr16:uid="{00000000-0015-0000-FFFF-FFFF45000000}" keepAlive="1" name="Connection69" type="5" refreshedVersion="0" background="1">
    <dbPr connection="Provider=Microsoft.Mashup.OleDb.1;Data Source=$Workbook$;Location=&quot;RG_LOWER&quot;;Extended Properties=&quot;&quot;" commandType="0"/>
  </connection>
  <connection id="165" xr16:uid="{00000000-0015-0000-FFFF-FFFF46000000}" keepAlive="1" name="Connection7" type="5" refreshedVersion="0" saveData="1">
    <dbPr connection="Provider=Microsoft.Mashup.OleDb.1;Data Source=$Workbook$;Location=&quot;RG_UPPER&quot;;Extended Properties=&quot;&quot;" commandType="0"/>
  </connection>
  <connection id="166" xr16:uid="{00000000-0015-0000-FFFF-FFFF47000000}" keepAlive="1" name="Connection70" type="5" refreshedVersion="0" background="1">
    <dbPr connection="Provider=Microsoft.Mashup.OleDb.1;Data Source=$Workbook$;Location=&quot;RG_UPPER&quot;;Extended Properties=&quot;&quot;" commandType="0"/>
  </connection>
  <connection id="167" xr16:uid="{00000000-0015-0000-FFFF-FFFF48000000}" keepAlive="1" name="Connection71" type="5" refreshedVersion="0" background="1">
    <dbPr connection="Provider=Microsoft.Mashup.OleDb.1;Data Source=$Workbook$;Location=&quot;RG_LOWER&quot;;Extended Properties=&quot;&quot;" commandType="0"/>
  </connection>
  <connection id="168" xr16:uid="{00000000-0015-0000-FFFF-FFFF49000000}" keepAlive="1" name="Connection72" type="5" refreshedVersion="0" background="1">
    <dbPr connection="Provider=Microsoft.Mashup.OleDb.1;Data Source=$Workbook$;Location=&quot;RG_UPPER&quot;;Extended Properties=&quot;&quot;" commandType="0"/>
  </connection>
  <connection id="169" xr16:uid="{00000000-0015-0000-FFFF-FFFF4A000000}" keepAlive="1" name="Connection73" type="5" refreshedVersion="0" background="1">
    <dbPr connection="Provider=Microsoft.Mashup.OleDb.1;Data Source=$Workbook$;Location=&quot;RG_LOWER&quot;;Extended Properties=&quot;&quot;" commandType="0"/>
  </connection>
  <connection id="170" xr16:uid="{00000000-0015-0000-FFFF-FFFF4B000000}" keepAlive="1" name="Connection74" type="5" refreshedVersion="0" background="1">
    <dbPr connection="Provider=Microsoft.Mashup.OleDb.1;Data Source=$Workbook$;Location=&quot;RG_UPPER&quot;;Extended Properties=&quot;&quot;" commandType="0"/>
  </connection>
  <connection id="171" xr16:uid="{00000000-0015-0000-FFFF-FFFF4C000000}" keepAlive="1" name="Connection75" type="5" refreshedVersion="0" background="1">
    <dbPr connection="Provider=Microsoft.Mashup.OleDb.1;Data Source=$Workbook$;Location=&quot;RG_LOWER&quot;;Extended Properties=&quot;&quot;" commandType="0"/>
  </connection>
  <connection id="172" xr16:uid="{00000000-0015-0000-FFFF-FFFF4D000000}" keepAlive="1" name="Connection76" type="5" refreshedVersion="0" background="1">
    <dbPr connection="Provider=Microsoft.Mashup.OleDb.1;Data Source=$Workbook$;Location=&quot;RG_UPPER&quot;;Extended Properties=&quot;&quot;" commandType="0"/>
  </connection>
  <connection id="173" xr16:uid="{00000000-0015-0000-FFFF-FFFF4E000000}" keepAlive="1" name="Connection77" type="5" refreshedVersion="0" background="1">
    <dbPr connection="Provider=Microsoft.Mashup.OleDb.1;Data Source=$Workbook$;Location=&quot;RG_LOWER&quot;;Extended Properties=&quot;&quot;" commandType="0"/>
  </connection>
  <connection id="174" xr16:uid="{00000000-0015-0000-FFFF-FFFF4F000000}" keepAlive="1" name="Connection78" type="5" refreshedVersion="0" background="1">
    <dbPr connection="Provider=Microsoft.Mashup.OleDb.1;Data Source=$Workbook$;Location=&quot;RG_UPPER&quot;;Extended Properties=&quot;&quot;" commandType="0"/>
  </connection>
  <connection id="175" xr16:uid="{00000000-0015-0000-FFFF-FFFF50000000}" keepAlive="1" name="Connection79" type="5" refreshedVersion="0" background="1">
    <dbPr connection="Provider=Microsoft.Mashup.OleDb.1;Data Source=$Workbook$;Location=&quot;RG_LOWER&quot;;Extended Properties=&quot;&quot;" commandType="0"/>
  </connection>
  <connection id="176" xr16:uid="{00000000-0015-0000-FFFF-FFFF51000000}" keepAlive="1" name="Connection8" type="5" refreshedVersion="0" saveData="1">
    <dbPr connection="Provider=Microsoft.Mashup.OleDb.1;Data Source=$Workbook$;Location=&quot;RG_UPPER&quot;;Extended Properties=&quot;&quot;" commandType="0"/>
  </connection>
  <connection id="177" xr16:uid="{00000000-0015-0000-FFFF-FFFF52000000}" keepAlive="1" name="Connection80" type="5" refreshedVersion="0" background="1">
    <dbPr connection="Provider=Microsoft.Mashup.OleDb.1;Data Source=$Workbook$;Location=&quot;RG_UPPER&quot;;Extended Properties=&quot;&quot;" commandType="0"/>
  </connection>
  <connection id="178" xr16:uid="{00000000-0015-0000-FFFF-FFFF53000000}" keepAlive="1" name="Connection81" type="5" refreshedVersion="0" background="1">
    <dbPr connection="Provider=Microsoft.Mashup.OleDb.1;Data Source=$Workbook$;Location=&quot;RG_LOWER&quot;;Extended Properties=&quot;&quot;" commandType="0"/>
  </connection>
  <connection id="179" xr16:uid="{00000000-0015-0000-FFFF-FFFF54000000}" keepAlive="1" name="Connection82" type="5" refreshedVersion="0" background="1">
    <dbPr connection="Provider=Microsoft.Mashup.OleDb.1;Data Source=$Workbook$;Location=&quot;RG_UPPER&quot;;Extended Properties=&quot;&quot;" commandType="0"/>
  </connection>
  <connection id="180" xr16:uid="{00000000-0015-0000-FFFF-FFFF55000000}" keepAlive="1" name="Connection83" type="5" refreshedVersion="0" background="1">
    <dbPr connection="Provider=Microsoft.Mashup.OleDb.1;Data Source=$Workbook$;Location=&quot;RG_LOWER&quot;;Extended Properties=&quot;&quot;" commandType="0"/>
  </connection>
  <connection id="181" xr16:uid="{00000000-0015-0000-FFFF-FFFF56000000}" keepAlive="1" name="Connection84" type="5" refreshedVersion="0" background="1">
    <dbPr connection="Provider=Microsoft.Mashup.OleDb.1;Data Source=$Workbook$;Location=&quot;RG_UPPER&quot;;Extended Properties=&quot;&quot;" commandType="0"/>
  </connection>
  <connection id="182" xr16:uid="{00000000-0015-0000-FFFF-FFFF57000000}" keepAlive="1" name="Connection85" type="5" refreshedVersion="0" background="1">
    <dbPr connection="Provider=Microsoft.Mashup.OleDb.1;Data Source=$Workbook$;Location=&quot;RG_LOWER&quot;;Extended Properties=&quot;&quot;" commandType="0"/>
  </connection>
  <connection id="183" xr16:uid="{00000000-0015-0000-FFFF-FFFF58000000}" keepAlive="1" name="Connection86" type="5" refreshedVersion="0" saveData="1">
    <dbPr connection="Provider=Microsoft.Mashup.OleDb.1;Data Source=$Workbook$;Location=&quot;RG_UPPER&quot;;Extended Properties=&quot;&quot;" commandType="0"/>
  </connection>
  <connection id="184" xr16:uid="{00000000-0015-0000-FFFF-FFFF59000000}" keepAlive="1" name="Connection87" type="5" refreshedVersion="0" background="1">
    <dbPr connection="Provider=Microsoft.Mashup.OleDb.1;Data Source=$Workbook$;Location=&quot;RG_LOWER&quot;;Extended Properties=&quot;&quot;" commandType="0"/>
  </connection>
  <connection id="185" xr16:uid="{00000000-0015-0000-FFFF-FFFF5A000000}" keepAlive="1" name="Connection88" type="5" refreshedVersion="0" saveData="1">
    <dbPr connection="Provider=Microsoft.Mashup.OleDb.1;Data Source=$Workbook$;Location=&quot;RG_UPPER&quot;;Extended Properties=&quot;&quot;" commandType="0"/>
  </connection>
  <connection id="186" xr16:uid="{00000000-0015-0000-FFFF-FFFF5B000000}" keepAlive="1" name="Connection89" type="5" refreshedVersion="0" background="1">
    <dbPr connection="Provider=Microsoft.Mashup.OleDb.1;Data Source=$Workbook$;Location=&quot;RG_LOWER&quot;;Extended Properties=&quot;&quot;" commandType="0"/>
  </connection>
  <connection id="187" xr16:uid="{00000000-0015-0000-FFFF-FFFF5C000000}" keepAlive="1" name="Connection9" type="5" refreshedVersion="0" saveData="1">
    <dbPr connection="Provider=Microsoft.Mashup.OleDb.1;Data Source=$Workbook$;Location=&quot;RG_UPPER&quot;;Extended Properties=&quot;&quot;" commandType="0"/>
  </connection>
  <connection id="188" xr16:uid="{00000000-0015-0000-FFFF-FFFF5D000000}" keepAlive="1" name="Connection90" type="5" refreshedVersion="0" saveData="1">
    <dbPr connection="Provider=Microsoft.Mashup.OleDb.1;Data Source=$Workbook$;Location=&quot;RG_UPPER&quot;;Extended Properties=&quot;&quot;" commandType="0"/>
  </connection>
  <connection id="189" xr16:uid="{00000000-0015-0000-FFFF-FFFF5E000000}" keepAlive="1" name="Connection91" type="5" refreshedVersion="0" background="1">
    <dbPr connection="Provider=Microsoft.Mashup.OleDb.1;Data Source=$Workbook$;Location=&quot;RG_LOWER&quot;;Extended Properties=&quot;&quot;" commandType="0"/>
  </connection>
  <connection id="190" xr16:uid="{00000000-0015-0000-FFFF-FFFF5F000000}" keepAlive="1" name="Connection92" type="5" refreshedVersion="0" saveData="1">
    <dbPr connection="Provider=Microsoft.Mashup.OleDb.1;Data Source=$Workbook$;Location=&quot;RG_UPPER&quot;;Extended Properties=&quot;&quot;" commandType="0"/>
  </connection>
  <connection id="191" xr16:uid="{00000000-0015-0000-FFFF-FFFF60000000}" keepAlive="1" name="Connection93" type="5" refreshedVersion="0" background="1">
    <dbPr connection="Provider=Microsoft.Mashup.OleDb.1;Data Source=$Workbook$;Location=&quot;RG_LOWER&quot;;Extended Properties=&quot;&quot;" commandType="0"/>
  </connection>
  <connection id="192" xr16:uid="{00000000-0015-0000-FFFF-FFFF61000000}" keepAlive="1" name="Connection94" type="5" refreshedVersion="0" saveData="1">
    <dbPr connection="Provider=Microsoft.Mashup.OleDb.1;Data Source=$Workbook$;Location=&quot;RG_UPPER&quot;;Extended Properties=&quot;&quot;" commandType="0"/>
  </connection>
  <connection id="193" xr16:uid="{00000000-0015-0000-FFFF-FFFF62000000}" keepAlive="1" name="Connection95" type="5" refreshedVersion="0" background="1">
    <dbPr connection="Provider=Microsoft.Mashup.OleDb.1;Data Source=$Workbook$;Location=&quot;RG_LOWER&quot;;Extended Properties=&quot;&quot;" commandType="0"/>
  </connection>
  <connection id="194" xr16:uid="{00000000-0015-0000-FFFF-FFFF63000000}" keepAlive="1" name="Connection96" type="5" refreshedVersion="0" saveData="1">
    <dbPr connection="Provider=Microsoft.Mashup.OleDb.1;Data Source=$Workbook$;Location=&quot;RG_UPPER&quot;;Extended Properties=&quot;&quot;" commandType="0"/>
  </connection>
  <connection id="195" xr16:uid="{00000000-0015-0000-FFFF-FFFF64000000}" keepAlive="1" name="Connection97" type="5" refreshedVersion="0" background="1">
    <dbPr connection="Provider=Microsoft.Mashup.OleDb.1;Data Source=$Workbook$;Location=&quot;RG_LOWER&quot;;Extended Properties=&quot;&quot;" commandType="0"/>
  </connection>
  <connection id="196" xr16:uid="{00000000-0015-0000-FFFF-FFFF65000000}" keepAlive="1" name="Connection98" type="5" refreshedVersion="8" background="1" saveData="1">
    <dbPr connection="Provider=Microsoft.Mashup.OleDb.1;Data Source=$Workbook$;Location=&quot;RG_UPPER&quot;;Extended Properties=&quot;&quot;" command="SELECT * FROM [RG_UPPER]"/>
  </connection>
  <connection id="197" xr16:uid="{00000000-0015-0000-FFFF-FFFF66000000}" keepAlive="1" name="Connection99" type="5" refreshedVersion="0" saveData="1">
    <dbPr connection="Provider=Microsoft.Mashup.OleDb.1;Data Source=$Workbook$;Location=&quot;RG_UPPER&quot;;Extended Properties=&quot;&quot;" commandType="0"/>
  </connection>
  <connection id="198" xr16:uid="{00000000-0015-0000-FFFF-FFFF67000000}" keepAlive="1" name="Query - RG_UPPER (2)" description="Connection to the 'RG_UPPER (2)' query in the workbook." type="5" refreshedVersion="8" background="1" saveData="1">
    <dbPr connection="Provider=Microsoft.Mashup.OleDb.1;Data Source=$Workbook$;Location=&quot;RG_UPPER (2)&quot;;Extended Properties=&quot;&quot;" command="SELECT * FROM [RG_UPPER (2)]"/>
  </connection>
  <connection id="199" xr16:uid="{00000000-0015-0000-FFFF-FFFF68000000}" keepAlive="1" name="Query - Table 0" description="Connection to the 'Table 0' query in the workbook." type="5" refreshedVersion="8" background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<sst xmlns="http://schemas.openxmlformats.org/spreadsheetml/2006/main" count="707" uniqueCount="385">
  <si>
    <t>Stage Interpolation Program</t>
  </si>
  <si>
    <t>Flat Pool</t>
  </si>
  <si>
    <t>Affected River Mile</t>
  </si>
  <si>
    <t>River Mile</t>
  </si>
  <si>
    <t>Lake Level</t>
  </si>
  <si>
    <t>Stage</t>
  </si>
  <si>
    <t>Calculated Stage</t>
  </si>
  <si>
    <t>Calculated Flat Pool</t>
  </si>
  <si>
    <t>Calculated W.S.</t>
  </si>
  <si>
    <t>Upper Gage</t>
  </si>
  <si>
    <t>Lower Gage</t>
  </si>
  <si>
    <t>Gage Reading</t>
  </si>
  <si>
    <r>
      <t>Lock 10,</t>
    </r>
    <r>
      <rPr>
        <sz val="10"/>
        <rFont val="Arial"/>
        <family val="2"/>
      </rPr>
      <t xml:space="preserve"> Tail (downstream side)</t>
    </r>
  </si>
  <si>
    <r>
      <t>Cassville,</t>
    </r>
    <r>
      <rPr>
        <sz val="10"/>
        <rFont val="Arial"/>
        <family val="2"/>
      </rPr>
      <t xml:space="preserve"> Left Bank, Dairyland Power, staff + wire weight </t>
    </r>
  </si>
  <si>
    <r>
      <t>Waupeton,</t>
    </r>
    <r>
      <rPr>
        <sz val="10"/>
        <rFont val="Arial"/>
        <family val="2"/>
      </rPr>
      <t xml:space="preserve"> Right Bank, staff at bridge</t>
    </r>
  </si>
  <si>
    <r>
      <t>Lock 11,</t>
    </r>
    <r>
      <rPr>
        <sz val="10"/>
        <rFont val="Arial"/>
        <family val="2"/>
      </rPr>
      <t xml:space="preserve"> Pool (upstream side)</t>
    </r>
  </si>
  <si>
    <r>
      <t>Lock 11,</t>
    </r>
    <r>
      <rPr>
        <sz val="10"/>
        <rFont val="Arial"/>
        <family val="2"/>
      </rPr>
      <t xml:space="preserve"> Tail (downstream side)</t>
    </r>
  </si>
  <si>
    <r>
      <t>Dubuque</t>
    </r>
    <r>
      <rPr>
        <sz val="10"/>
        <rFont val="Arial"/>
        <family val="2"/>
      </rPr>
      <t>, Right Bank, staff + satellite at R R Bridge</t>
    </r>
  </si>
  <si>
    <r>
      <t>Nitaho Valley</t>
    </r>
    <r>
      <rPr>
        <sz val="10"/>
        <rFont val="Arial"/>
        <family val="2"/>
      </rPr>
      <t>, Right Bank, staff at ramp &amp; bridge</t>
    </r>
  </si>
  <si>
    <r>
      <t>Gordon's Ferry</t>
    </r>
    <r>
      <rPr>
        <sz val="10"/>
        <rFont val="Arial"/>
        <family val="2"/>
      </rPr>
      <t>, Right Bank, staff at RR Bridge</t>
    </r>
  </si>
  <si>
    <r>
      <t>Lock 12,</t>
    </r>
    <r>
      <rPr>
        <sz val="10"/>
        <rFont val="Arial"/>
        <family val="2"/>
      </rPr>
      <t xml:space="preserve"> Pool (upstream side)</t>
    </r>
  </si>
  <si>
    <r>
      <t>Lock 12,</t>
    </r>
    <r>
      <rPr>
        <sz val="10"/>
        <rFont val="Arial"/>
        <family val="2"/>
      </rPr>
      <t xml:space="preserve"> Tail (downstream side)</t>
    </r>
  </si>
  <si>
    <r>
      <t>Pleasant Creek</t>
    </r>
    <r>
      <rPr>
        <sz val="10"/>
        <rFont val="Arial"/>
        <family val="2"/>
      </rPr>
      <t>, Right Bank, staff on sheet piling upstream of ramp</t>
    </r>
  </si>
  <si>
    <r>
      <t>Densmore Intake</t>
    </r>
    <r>
      <rPr>
        <sz val="10"/>
        <rFont val="Arial"/>
        <family val="2"/>
      </rPr>
      <t>, Right Bank, staff (direct read)</t>
    </r>
  </si>
  <si>
    <r>
      <t>Savanna Bay</t>
    </r>
    <r>
      <rPr>
        <sz val="10"/>
        <rFont val="Arial"/>
        <family val="2"/>
      </rPr>
      <t>, Left Bank, "X" corner of concrete of sign at ramp = 589.83</t>
    </r>
  </si>
  <si>
    <r>
      <t>Sabula</t>
    </r>
    <r>
      <rPr>
        <sz val="10"/>
        <rFont val="Arial"/>
        <family val="2"/>
      </rPr>
      <t>, Right Bank, staff at RR Bridge (channel 13)</t>
    </r>
  </si>
  <si>
    <r>
      <t>Lock 13,</t>
    </r>
    <r>
      <rPr>
        <sz val="10"/>
        <rFont val="Arial"/>
        <family val="2"/>
      </rPr>
      <t xml:space="preserve"> Pool (upstream side)</t>
    </r>
  </si>
  <si>
    <r>
      <t>Lock 13,</t>
    </r>
    <r>
      <rPr>
        <sz val="10"/>
        <rFont val="Arial"/>
        <family val="2"/>
      </rPr>
      <t xml:space="preserve"> Tail (downstream side)</t>
    </r>
  </si>
  <si>
    <r>
      <t>Clinton</t>
    </r>
    <r>
      <rPr>
        <sz val="10"/>
        <rFont val="Arial"/>
        <family val="2"/>
      </rPr>
      <t>, Right Bank, RR Bridge, staff downstream of pivot</t>
    </r>
  </si>
  <si>
    <r>
      <t>LeClaire</t>
    </r>
    <r>
      <rPr>
        <sz val="10"/>
        <rFont val="Arial"/>
        <family val="2"/>
      </rPr>
      <t>, Right Bank, in shed 400ft downstream of museum</t>
    </r>
  </si>
  <si>
    <r>
      <t>Lock 14,</t>
    </r>
    <r>
      <rPr>
        <sz val="10"/>
        <rFont val="Arial"/>
        <family val="2"/>
      </rPr>
      <t xml:space="preserve"> Pool (upstream side)</t>
    </r>
  </si>
  <si>
    <r>
      <t>Lock 14,</t>
    </r>
    <r>
      <rPr>
        <sz val="10"/>
        <rFont val="Arial"/>
        <family val="2"/>
      </rPr>
      <t xml:space="preserve"> Tail (downstream side)</t>
    </r>
  </si>
  <si>
    <r>
      <t>Bettendorf</t>
    </r>
    <r>
      <rPr>
        <sz val="10"/>
        <rFont val="Arial"/>
        <family val="2"/>
      </rPr>
      <t>, Right Bank, Phillip's oil dock, staff at cell</t>
    </r>
  </si>
  <si>
    <r>
      <t>Lock 15,</t>
    </r>
    <r>
      <rPr>
        <sz val="10"/>
        <rFont val="Arial"/>
        <family val="2"/>
      </rPr>
      <t xml:space="preserve"> Pool (upstream side)</t>
    </r>
  </si>
  <si>
    <r>
      <t>Lock 15,</t>
    </r>
    <r>
      <rPr>
        <sz val="10"/>
        <rFont val="Arial"/>
        <family val="2"/>
      </rPr>
      <t xml:space="preserve"> Tail (downstream side)</t>
    </r>
  </si>
  <si>
    <r>
      <t>Sunset Marina</t>
    </r>
    <r>
      <rPr>
        <sz val="10"/>
        <rFont val="Arial"/>
        <family val="2"/>
      </rPr>
      <t>, Left Bank, wire weight at hoist</t>
    </r>
  </si>
  <si>
    <r>
      <t>Eastern Iowa Power</t>
    </r>
    <r>
      <rPr>
        <sz val="10"/>
        <rFont val="Arial"/>
        <family val="2"/>
      </rPr>
      <t>, Right Bank, staff at intake</t>
    </r>
  </si>
  <si>
    <r>
      <t>Fairport</t>
    </r>
    <r>
      <rPr>
        <sz val="10"/>
        <rFont val="Arial"/>
        <family val="2"/>
      </rPr>
      <t>, Right Bank, in pump house at hatchery ( call lock 16)</t>
    </r>
  </si>
  <si>
    <r>
      <t>Lock 16,</t>
    </r>
    <r>
      <rPr>
        <sz val="10"/>
        <rFont val="Arial"/>
        <family val="2"/>
      </rPr>
      <t xml:space="preserve"> Pool (upstream side)</t>
    </r>
  </si>
  <si>
    <r>
      <t>Lock 16,</t>
    </r>
    <r>
      <rPr>
        <sz val="10"/>
        <rFont val="Arial"/>
        <family val="2"/>
      </rPr>
      <t xml:space="preserve"> Tail (downstream side)</t>
    </r>
  </si>
  <si>
    <r>
      <t>Muscatine</t>
    </r>
    <r>
      <rPr>
        <sz val="10"/>
        <rFont val="Arial"/>
        <family val="2"/>
      </rPr>
      <t>, Right Bank, tape at power plant (call lock 16)</t>
    </r>
  </si>
  <si>
    <r>
      <t>Farmland Dock</t>
    </r>
    <r>
      <rPr>
        <sz val="10"/>
        <rFont val="Arial"/>
        <family val="2"/>
      </rPr>
      <t>, Right Bank, staff at dock</t>
    </r>
  </si>
  <si>
    <r>
      <t>Lock 17,</t>
    </r>
    <r>
      <rPr>
        <sz val="10"/>
        <rFont val="Arial"/>
        <family val="2"/>
      </rPr>
      <t xml:space="preserve"> Pool (upstream side)</t>
    </r>
  </si>
  <si>
    <r>
      <t>Lock 17,</t>
    </r>
    <r>
      <rPr>
        <sz val="10"/>
        <rFont val="Arial"/>
        <family val="2"/>
      </rPr>
      <t xml:space="preserve"> Tail (downstream side)</t>
    </r>
  </si>
  <si>
    <r>
      <t>Keithsburg</t>
    </r>
    <r>
      <rPr>
        <sz val="10"/>
        <rFont val="Arial"/>
        <family val="2"/>
      </rPr>
      <t>, Left Bank, staff + wire weight at grain elevator</t>
    </r>
  </si>
  <si>
    <r>
      <t>Lock 18,</t>
    </r>
    <r>
      <rPr>
        <sz val="10"/>
        <rFont val="Arial"/>
        <family val="2"/>
      </rPr>
      <t xml:space="preserve"> Pool (upstream side)</t>
    </r>
  </si>
  <si>
    <r>
      <t>Lock 18,</t>
    </r>
    <r>
      <rPr>
        <sz val="10"/>
        <rFont val="Arial"/>
        <family val="2"/>
      </rPr>
      <t xml:space="preserve"> Tail (downstream side)</t>
    </r>
  </si>
  <si>
    <r>
      <t>Burlington</t>
    </r>
    <r>
      <rPr>
        <sz val="10"/>
        <rFont val="Arial"/>
        <family val="2"/>
      </rPr>
      <t>, Right Bank, RR Bridge staff + satellite in shed on bank</t>
    </r>
  </si>
  <si>
    <r>
      <t>I S U Power</t>
    </r>
    <r>
      <rPr>
        <sz val="10"/>
        <rFont val="Arial"/>
        <family val="2"/>
      </rPr>
      <t>, Right Bank, staff at intake</t>
    </r>
  </si>
  <si>
    <r>
      <t>Ft Madison</t>
    </r>
    <r>
      <rPr>
        <sz val="10"/>
        <rFont val="Arial"/>
        <family val="2"/>
      </rPr>
      <t>, Right Bank, RR Bridge staff + satellite in shed on bank</t>
    </r>
  </si>
  <si>
    <r>
      <t>Ft Madison Harbor</t>
    </r>
    <r>
      <rPr>
        <sz val="10"/>
        <rFont val="Arial"/>
        <family val="2"/>
      </rPr>
      <t xml:space="preserve">, Right Bank, top of wall at ramp = 522.79 </t>
    </r>
  </si>
  <si>
    <r>
      <t>Lock 19,</t>
    </r>
    <r>
      <rPr>
        <sz val="10"/>
        <rFont val="Arial"/>
        <family val="2"/>
      </rPr>
      <t xml:space="preserve"> Pool (upstream side)</t>
    </r>
  </si>
  <si>
    <r>
      <t>Lock 19,</t>
    </r>
    <r>
      <rPr>
        <sz val="10"/>
        <rFont val="Arial"/>
        <family val="2"/>
      </rPr>
      <t xml:space="preserve"> Tail (downstream side)(entire pool low water Flat Pool = Variable)</t>
    </r>
  </si>
  <si>
    <r>
      <t>Warsaw</t>
    </r>
    <r>
      <rPr>
        <sz val="10"/>
        <rFont val="Arial"/>
        <family val="2"/>
      </rPr>
      <t>, Left Bank, staff on sheet pile upstream of elevator</t>
    </r>
  </si>
  <si>
    <r>
      <t>Gregory</t>
    </r>
    <r>
      <rPr>
        <sz val="10"/>
        <rFont val="Arial"/>
        <family val="2"/>
      </rPr>
      <t>, Right Bank, tape + satellite in shed at elevator</t>
    </r>
  </si>
  <si>
    <r>
      <t>Lock 20,</t>
    </r>
    <r>
      <rPr>
        <sz val="10"/>
        <rFont val="Arial"/>
        <family val="2"/>
      </rPr>
      <t xml:space="preserve"> Pool (upstream side)(entire pool high water Flat Pool Elev. = 480.0)</t>
    </r>
  </si>
  <si>
    <r>
      <t>Lock 20,</t>
    </r>
    <r>
      <rPr>
        <sz val="10"/>
        <rFont val="Arial"/>
        <family val="2"/>
      </rPr>
      <t xml:space="preserve"> Tail (downstream side)</t>
    </r>
  </si>
  <si>
    <r>
      <t>LaGrange</t>
    </r>
    <r>
      <rPr>
        <sz val="10"/>
        <rFont val="Arial"/>
        <family val="2"/>
      </rPr>
      <t>, Right Bank, staff on cell + wire weight at elevator</t>
    </r>
  </si>
  <si>
    <r>
      <t>Quincy</t>
    </r>
    <r>
      <rPr>
        <sz val="10"/>
        <rFont val="Arial"/>
        <family val="2"/>
      </rPr>
      <t>, Left Bank, staff + satellite at water plant</t>
    </r>
  </si>
  <si>
    <r>
      <t>Lock 21,</t>
    </r>
    <r>
      <rPr>
        <sz val="10"/>
        <rFont val="Arial"/>
        <family val="2"/>
      </rPr>
      <t xml:space="preserve"> Pool (upstream side)</t>
    </r>
  </si>
  <si>
    <r>
      <t>Lock 21,</t>
    </r>
    <r>
      <rPr>
        <sz val="10"/>
        <rFont val="Arial"/>
        <family val="2"/>
      </rPr>
      <t xml:space="preserve"> Tail (downstream side)</t>
    </r>
  </si>
  <si>
    <r>
      <t>N E Mo Power</t>
    </r>
    <r>
      <rPr>
        <sz val="10"/>
        <rFont val="Arial"/>
        <family val="2"/>
      </rPr>
      <t>, Right Bank, staff at intake</t>
    </r>
  </si>
  <si>
    <r>
      <t>Hannibal</t>
    </r>
    <r>
      <rPr>
        <sz val="10"/>
        <rFont val="Arial"/>
        <family val="2"/>
      </rPr>
      <t>, Right Bank, staff at RR Bridge, satellite in bldg upstream harbor</t>
    </r>
  </si>
  <si>
    <r>
      <t>Lock 22,</t>
    </r>
    <r>
      <rPr>
        <sz val="10"/>
        <rFont val="Arial"/>
        <family val="2"/>
      </rPr>
      <t xml:space="preserve"> Pool (upstream side)</t>
    </r>
  </si>
  <si>
    <r>
      <t>Lock 22,</t>
    </r>
    <r>
      <rPr>
        <sz val="10"/>
        <rFont val="Arial"/>
        <family val="2"/>
      </rPr>
      <t xml:space="preserve"> Tail (downstream side)</t>
    </r>
  </si>
  <si>
    <r>
      <t>T.J. O’Brien Lock</t>
    </r>
    <r>
      <rPr>
        <sz val="10"/>
        <rFont val="Arial"/>
        <family val="2"/>
      </rPr>
      <t>, Pool (upstream side)</t>
    </r>
  </si>
  <si>
    <r>
      <t>T.J. O’Brien Lock</t>
    </r>
    <r>
      <rPr>
        <sz val="10"/>
        <rFont val="Arial"/>
        <family val="2"/>
      </rPr>
      <t>, Tail (downstream side)</t>
    </r>
  </si>
  <si>
    <r>
      <t>Lockport Lock</t>
    </r>
    <r>
      <rPr>
        <sz val="10"/>
        <rFont val="Arial"/>
        <family val="2"/>
      </rPr>
      <t>, Pool (upstream side) (ask what datum</t>
    </r>
  </si>
  <si>
    <r>
      <t>Lockport Lock</t>
    </r>
    <r>
      <rPr>
        <sz val="10"/>
        <rFont val="Arial"/>
        <family val="2"/>
      </rPr>
      <t>, Tail (downstream side)</t>
    </r>
  </si>
  <si>
    <r>
      <t>Brandon Road Lock</t>
    </r>
    <r>
      <rPr>
        <sz val="10"/>
        <rFont val="Arial"/>
        <family val="2"/>
      </rPr>
      <t>, Pool (upstream side)</t>
    </r>
  </si>
  <si>
    <r>
      <t>Brandon Road Lock</t>
    </r>
    <r>
      <rPr>
        <sz val="10"/>
        <rFont val="Arial"/>
        <family val="2"/>
      </rPr>
      <t>, Tail (downstream side)</t>
    </r>
  </si>
  <si>
    <r>
      <t>Hunting Lodge Bend</t>
    </r>
    <r>
      <rPr>
        <sz val="10"/>
        <rFont val="Arial"/>
        <family val="2"/>
      </rPr>
      <t>, Right Bank, staff</t>
    </r>
  </si>
  <si>
    <r>
      <t>I-55 HWY Bridge</t>
    </r>
    <r>
      <rPr>
        <sz val="10"/>
        <rFont val="Arial"/>
        <family val="2"/>
      </rPr>
      <t>, Right Bank, staff on bridge pier</t>
    </r>
  </si>
  <si>
    <r>
      <t>Dresden Lock</t>
    </r>
    <r>
      <rPr>
        <sz val="10"/>
        <rFont val="Arial"/>
        <family val="2"/>
      </rPr>
      <t>, Pool (upstream side)</t>
    </r>
  </si>
  <si>
    <r>
      <t>Dresden Lock</t>
    </r>
    <r>
      <rPr>
        <sz val="10"/>
        <rFont val="Arial"/>
        <family val="2"/>
      </rPr>
      <t>, Tail (downstream side)</t>
    </r>
  </si>
  <si>
    <r>
      <t>Morris</t>
    </r>
    <r>
      <rPr>
        <sz val="10"/>
        <rFont val="Arial"/>
        <family val="2"/>
      </rPr>
      <t>, Right Bank, staff on bridge pier</t>
    </r>
  </si>
  <si>
    <r>
      <t>Grist Island</t>
    </r>
    <r>
      <rPr>
        <sz val="10"/>
        <rFont val="Arial"/>
        <family val="2"/>
      </rPr>
      <t>, Right Bank, staff, top of wall = 487.24</t>
    </r>
  </si>
  <si>
    <r>
      <t>Seneca</t>
    </r>
    <r>
      <rPr>
        <sz val="10"/>
        <rFont val="Arial"/>
        <family val="2"/>
      </rPr>
      <t>, Right Bank, staff on bridge pier</t>
    </r>
  </si>
  <si>
    <r>
      <t>Kickapoo</t>
    </r>
    <r>
      <rPr>
        <sz val="10"/>
        <rFont val="Arial"/>
        <family val="2"/>
      </rPr>
      <t>, Right Bank, staff on cell</t>
    </r>
  </si>
  <si>
    <r>
      <t>Marseilles Dam</t>
    </r>
    <r>
      <rPr>
        <sz val="10"/>
        <rFont val="Arial"/>
        <family val="2"/>
      </rPr>
      <t>, (upstream side)</t>
    </r>
  </si>
  <si>
    <r>
      <t>Marseilles Lock</t>
    </r>
    <r>
      <rPr>
        <sz val="10"/>
        <rFont val="Arial"/>
        <family val="2"/>
      </rPr>
      <t>, Pool (upstream side)</t>
    </r>
  </si>
  <si>
    <r>
      <t>Marseilles Lock</t>
    </r>
    <r>
      <rPr>
        <sz val="10"/>
        <rFont val="Arial"/>
        <family val="2"/>
      </rPr>
      <t>, Tail (downstream side)</t>
    </r>
  </si>
  <si>
    <r>
      <t>ADM Elevator</t>
    </r>
    <r>
      <rPr>
        <sz val="10"/>
        <rFont val="Arial"/>
        <family val="2"/>
      </rPr>
      <t>, Right Bank, bolt on upstream cell elevation = 461.7</t>
    </r>
  </si>
  <si>
    <r>
      <t>Ottawa</t>
    </r>
    <r>
      <rPr>
        <sz val="10"/>
        <rFont val="Arial"/>
        <family val="2"/>
      </rPr>
      <t>, Left Bank, staff on bridge pier</t>
    </r>
  </si>
  <si>
    <r>
      <t>Starved Rock Lock</t>
    </r>
    <r>
      <rPr>
        <sz val="10"/>
        <rFont val="Arial"/>
        <family val="2"/>
      </rPr>
      <t>, Pool (upstream side)</t>
    </r>
  </si>
  <si>
    <r>
      <t>Starved Rock Lock</t>
    </r>
    <r>
      <rPr>
        <sz val="10"/>
        <rFont val="Arial"/>
        <family val="2"/>
      </rPr>
      <t>, Tail (downstream side)</t>
    </r>
  </si>
  <si>
    <r>
      <t>La Salle</t>
    </r>
    <r>
      <rPr>
        <sz val="10"/>
        <rFont val="Arial"/>
        <family val="2"/>
      </rPr>
      <t>, Right Bank, staff at Tabor Harbor, gage zero = 430.0</t>
    </r>
  </si>
  <si>
    <r>
      <t>Spring Valley</t>
    </r>
    <r>
      <rPr>
        <sz val="10"/>
        <rFont val="Arial"/>
        <family val="2"/>
      </rPr>
      <t>, Right Bank, staff on bridge pier</t>
    </r>
    <r>
      <rPr>
        <b/>
        <sz val="10"/>
        <color indexed="10"/>
        <rFont val="Arial"/>
        <family val="2"/>
      </rPr>
      <t xml:space="preserve"> (reads 2 tenths high)</t>
    </r>
  </si>
  <si>
    <r>
      <t>Illinois Power Plant</t>
    </r>
    <r>
      <rPr>
        <sz val="10"/>
        <rFont val="Arial"/>
        <family val="2"/>
      </rPr>
      <t>, Left Bank, staff on downstream side of building</t>
    </r>
  </si>
  <si>
    <r>
      <t>Hennepin</t>
    </r>
    <r>
      <rPr>
        <sz val="10"/>
        <rFont val="Arial"/>
        <family val="2"/>
      </rPr>
      <t>, Left Bank, staff on cell at elevator</t>
    </r>
  </si>
  <si>
    <r>
      <t>Henry</t>
    </r>
    <r>
      <rPr>
        <sz val="10"/>
        <rFont val="Arial"/>
        <family val="2"/>
      </rPr>
      <t>, Right Bank, staff at old lock</t>
    </r>
  </si>
  <si>
    <r>
      <t>Chillicothe</t>
    </r>
    <r>
      <rPr>
        <sz val="10"/>
        <rFont val="Arial"/>
        <family val="2"/>
      </rPr>
      <t xml:space="preserve">, Right Bank, staff on cell at elevator </t>
    </r>
  </si>
  <si>
    <r>
      <t>Corps Peoria Boat Yard</t>
    </r>
    <r>
      <rPr>
        <sz val="10"/>
        <rFont val="Arial"/>
        <family val="2"/>
      </rPr>
      <t>, Right Bank, staff on sheet piling</t>
    </r>
  </si>
  <si>
    <r>
      <t>Peoria Lock</t>
    </r>
    <r>
      <rPr>
        <sz val="10"/>
        <rFont val="Arial"/>
        <family val="2"/>
      </rPr>
      <t>, Pool (upstream side)</t>
    </r>
  </si>
  <si>
    <r>
      <t>Peoria Lock</t>
    </r>
    <r>
      <rPr>
        <sz val="10"/>
        <rFont val="Arial"/>
        <family val="2"/>
      </rPr>
      <t>, Tail (downstream side)</t>
    </r>
  </si>
  <si>
    <r>
      <t>Pekin</t>
    </r>
    <r>
      <rPr>
        <sz val="10"/>
        <rFont val="Arial"/>
        <family val="2"/>
      </rPr>
      <t>, Left Bank, staff on bridge pier</t>
    </r>
  </si>
  <si>
    <r>
      <t>CFI Harbor</t>
    </r>
    <r>
      <rPr>
        <sz val="10"/>
        <rFont val="Arial"/>
        <family val="2"/>
      </rPr>
      <t>, Right Bank, bolt on cell elevation = 444.46</t>
    </r>
  </si>
  <si>
    <r>
      <t>Kingston Mines</t>
    </r>
    <r>
      <rPr>
        <sz val="10"/>
        <rFont val="Arial"/>
        <family val="2"/>
      </rPr>
      <t>, Right Bank, staff + satellite at terminal</t>
    </r>
  </si>
  <si>
    <r>
      <t>Copperas</t>
    </r>
    <r>
      <rPr>
        <sz val="10"/>
        <rFont val="Arial"/>
        <family val="2"/>
      </rPr>
      <t xml:space="preserve">, Right Bank, staff + satellite at old lock </t>
    </r>
  </si>
  <si>
    <r>
      <t>East Liverpool</t>
    </r>
    <r>
      <rPr>
        <sz val="10"/>
        <rFont val="Arial"/>
        <family val="2"/>
      </rPr>
      <t>, Right Bank, top of I-beam elev. = 432.98 at pump station dwst end</t>
    </r>
  </si>
  <si>
    <r>
      <t>Liverpool</t>
    </r>
    <r>
      <rPr>
        <sz val="10"/>
        <rFont val="Arial"/>
        <family val="2"/>
      </rPr>
      <t>, Right Bank, staff at terminal</t>
    </r>
  </si>
  <si>
    <r>
      <t>Quiver Island</t>
    </r>
    <r>
      <rPr>
        <sz val="10"/>
        <rFont val="Arial"/>
        <family val="2"/>
      </rPr>
      <t>, Left Bank, staff on sheet piling at coal dock</t>
    </r>
  </si>
  <si>
    <r>
      <t>Havana</t>
    </r>
    <r>
      <rPr>
        <sz val="10"/>
        <rFont val="Arial"/>
        <family val="2"/>
      </rPr>
      <t>, Left Bank, staff on bridge pier + staff at conservation ramp</t>
    </r>
  </si>
  <si>
    <r>
      <t>Havana Power Plant</t>
    </r>
    <r>
      <rPr>
        <sz val="10"/>
        <rFont val="Arial"/>
        <family val="2"/>
      </rPr>
      <t>, Left Bank, staff on cell</t>
    </r>
  </si>
  <si>
    <r>
      <t>Anderson Lake</t>
    </r>
    <r>
      <rPr>
        <sz val="10"/>
        <rFont val="Arial"/>
        <family val="2"/>
      </rPr>
      <t>, Right Bank, staff at outfall</t>
    </r>
  </si>
  <si>
    <r>
      <t>Browning</t>
    </r>
    <r>
      <rPr>
        <sz val="10"/>
        <rFont val="Arial"/>
        <family val="2"/>
      </rPr>
      <t>, Right Bank, staff</t>
    </r>
  </si>
  <si>
    <r>
      <t>Beardstown</t>
    </r>
    <r>
      <rPr>
        <sz val="10"/>
        <rFont val="Arial"/>
        <family val="2"/>
      </rPr>
      <t>, Left Bank, staff on piling Logsdon Tug + Satellite in shed (9.1 = flat)</t>
    </r>
  </si>
  <si>
    <r>
      <t>LaGrange Lock</t>
    </r>
    <r>
      <rPr>
        <sz val="10"/>
        <rFont val="Arial"/>
        <family val="2"/>
      </rPr>
      <t>, Pool (upstream side)</t>
    </r>
  </si>
  <si>
    <r>
      <t>LaGrange Lock</t>
    </r>
    <r>
      <rPr>
        <sz val="10"/>
        <rFont val="Arial"/>
        <family val="2"/>
      </rPr>
      <t>, Tail (downstream side)</t>
    </r>
  </si>
  <si>
    <t>Change of Pool / Mile</t>
  </si>
  <si>
    <t>!!! data below this line will not appear in list boxes !!!</t>
  </si>
  <si>
    <t>Directions</t>
  </si>
  <si>
    <t>URL Link</t>
  </si>
  <si>
    <t>https://rivergages.mvr.usace.army.mil/WaterControl/shefdata2.cfm?sid=DBQI4&amp;d=1&amp;dt=E</t>
  </si>
  <si>
    <t>https://rivergages.mvr.usace.army.mil/WaterControl/shefdata2.cfm?sid=NVRI4&amp;d=1&amp;dt=E</t>
  </si>
  <si>
    <t>https://rivergages.mvr.usace.army.mil/WaterControl/shefdata2.cfm?sid=MI12P&amp;d=1&amp;dt=E</t>
  </si>
  <si>
    <t>https://rivergages.mvr.usace.army.mil/WaterControl/shefdata2.cfm?sid=SABI4&amp;d=1&amp;dt=E</t>
  </si>
  <si>
    <t>https://rivergages.mvr.usace.army.mil/WaterControl/shefdata2.cfm?sid=MI13P&amp;d=1&amp;dt=E</t>
  </si>
  <si>
    <t>https://rivergages.mvr.usace.army.mil/WaterControl/shefdata2.cfm?sid=BSCI4&amp;d=1&amp;dt=E</t>
  </si>
  <si>
    <r>
      <t>Camanche</t>
    </r>
    <r>
      <rPr>
        <sz val="10"/>
        <rFont val="Arial"/>
        <family val="2"/>
      </rPr>
      <t>, Right Bank, staff + tape inside satellite shed foot 8th Ave.</t>
    </r>
  </si>
  <si>
    <t>https://rivergages.mvr.usace.army.mil/WaterControl/shefdata2.cfm?sid=CMMI4&amp;d=1&amp;dt=E</t>
  </si>
  <si>
    <t>https://rivergages.mvr.usace.army.mil/WaterControl/shefdata2.cfm?sid=MI14P&amp;d=1&amp;dt=E</t>
  </si>
  <si>
    <t>https://rivergages.mvr.usace.army.mil/WaterControl/shefdata2.cfm?sid=CRWI4&amp;d=1&amp;dt=E</t>
  </si>
  <si>
    <t>https://rivergages.mvr.usace.army.mil/WaterControl/shefdata2.cfm?sid=MI15P&amp;d=1&amp;dt=E</t>
  </si>
  <si>
    <t>Rivergages Link</t>
  </si>
  <si>
    <t>https://rivergages.mvr.usace.army.mil/WaterControl/shefdata2.cfm?sid=FAII4&amp;d=1&amp;dt=E</t>
  </si>
  <si>
    <t>https://rivergages.mvr.usace.army.mil/WaterControl/shefdata2.cfm?sid=MI16P&amp;d=1&amp;dt=E</t>
  </si>
  <si>
    <t>https://rivergages.mvr.usace.army.mil/WaterControl/shefdata2.cfm?sid=MUSI4&amp;d=1&amp;dt=E</t>
  </si>
  <si>
    <t>https://rivergages.mvr.usace.army.mil/WaterControl/shefdata2.cfm?sid=FLDI4&amp;d=1&amp;dt=E</t>
  </si>
  <si>
    <t>https://rivergages.mvr.usace.army.mil/WaterControl/shefdata2.cfm?sid=MI17P&amp;d=1&amp;dt=E</t>
  </si>
  <si>
    <t>https://rivergages.mvr.usace.army.mil/WaterControl/shefdata2.cfm?sid=KHBI2&amp;d=1&amp;dt=E</t>
  </si>
  <si>
    <t>Manual Reading Only</t>
  </si>
  <si>
    <t>https://rivergages.mvr.usace.army.mil/WaterControl/shefdata2.cfm?sid=MI18P&amp;d=1&amp;dt=E</t>
  </si>
  <si>
    <t>https://rivergages.mvr.usace.army.mil/WaterControl/shefdata2.cfm?sid=BRLI4&amp;d=1&amp;dt=E</t>
  </si>
  <si>
    <t>https://rivergages.mvr.usace.army.mil/WaterControl/shefdata2.cfm?sid=FMDI4&amp;d=1&amp;dt=E</t>
  </si>
  <si>
    <t>https://rivergages.mvr.usace.army.mil/WaterControl/shefdata2.cfm?sid=MI19P&amp;d=1&amp;dt=E</t>
  </si>
  <si>
    <t>https://rivergages.mvr.usace.army.mil/WaterControl/shefdata2.cfm?sid=GGYM7&amp;d=1&amp;dt=E</t>
  </si>
  <si>
    <t>https://rivergages.mvr.usace.army.mil/WaterControl/shefdata2.cfm?sid=MI20P&amp;d=1&amp;dt=E</t>
  </si>
  <si>
    <t>https://rivergages.mvr.usace.army.mil/WaterControl/shefdata2.cfm?sid=LGRM7&amp;d=1&amp;dt=E</t>
  </si>
  <si>
    <t>https://rivergages.mvr.usace.army.mil/WaterControl/shefdata2.cfm?sid=UINI2&amp;d=1&amp;dt=E</t>
  </si>
  <si>
    <t>https://rivergages.mvr.usace.army.mil/WaterControl/shefdata2.cfm?sid=MI21P&amp;d=1&amp;dt=E</t>
  </si>
  <si>
    <t>https://rivergages.mvr.usace.army.mil/WaterControl/shefdata2.cfm?sid=HNNM7&amp;d=1&amp;dt=E</t>
  </si>
  <si>
    <t>https://rivergages.mvr.usace.army.mil/WaterControl/shefdata2.cfm?sid=MI22P&amp;d=1&amp;dt=E</t>
  </si>
  <si>
    <t>https://rivergages.mvr.usace.army.mil/WaterControl/shefdata2.cfm?sid=WPNI4&amp;d=1&amp;dt=E</t>
  </si>
  <si>
    <t>https://rivergages.mvr.usace.army.mil/WaterControl/shefdata2.cfm?sid=MI11P&amp;d=1&amp;dt=E</t>
  </si>
  <si>
    <t>Not on Rivergages.com</t>
  </si>
  <si>
    <t>Rivergages.com connection by Ryan Benac (2023)</t>
  </si>
  <si>
    <t>Original sheet by Bob Adams, revised and adapted by Adam Ziegler (2003)</t>
  </si>
  <si>
    <t>https://rivergages.mvr.usace.army.mil/WaterControl/shefdata2.cfm?sid=IL01P&amp;d=1&amp;dt=E</t>
  </si>
  <si>
    <t>https://rivergages.mvr.usace.army.mil/WaterControl/shefdata2.cfm?sid=IL02P&amp;d=1&amp;dt=E</t>
  </si>
  <si>
    <t>https://rivergages.mvr.usace.army.mil/WaterControl/shefdata2.cfm?sid=IL03P&amp;d=1&amp;dt=E</t>
  </si>
  <si>
    <t>https://rivergages.mvr.usace.army.mil/WaterControl/shefdata2.cfm?sid=IL04P&amp;d=1&amp;dt=E</t>
  </si>
  <si>
    <t>https://rivergages.mvr.usace.army.mil/WaterControl/shefdata2.cfm?sid=MORI2&amp;d=1&amp;dt=E</t>
  </si>
  <si>
    <t>https://rivergages.mvr.usace.army.mil/WaterControl/shefdata2.cfm?sid=OTWI2&amp;d=1&amp;dt=E</t>
  </si>
  <si>
    <t>https://rivergages.mvr.usace.army.mil/WaterControl/shefdata2.cfm?sid=IL06P&amp;d=1&amp;dt=E</t>
  </si>
  <si>
    <t>https://rivergages.mvr.usace.army.mil/WaterControl/shefdata2.cfm?sid=LSLI2&amp;d=1&amp;dt=E</t>
  </si>
  <si>
    <t>https://rivergages.mvr.usace.army.mil/WaterControl/shefdata2.cfm?sid=HNYI2&amp;d=1&amp;dt=E</t>
  </si>
  <si>
    <t>https://rivergages.mvr.usace.army.mil/WaterControl/shefdata2.cfm?sid=IL07P&amp;d=1&amp;dt=E</t>
  </si>
  <si>
    <t>https://rivergages.mvr.usace.army.mil/WaterControl/shefdata2.cfm?sid=KNGI2&amp;d=1&amp;dt=E</t>
  </si>
  <si>
    <t>https://rivergages.mvr.usace.army.mil/WaterControl/shefdata2.cfm?sid=COPI2&amp;d=1&amp;dt=E</t>
  </si>
  <si>
    <t>https://rivergages.mvr.usace.army.mil/WaterControl/shefdata2.cfm?sid=HAVI2&amp;d=1&amp;dt=E</t>
  </si>
  <si>
    <t>https://rivergages.mvr.usace.army.mil/WaterControl/shefdata2.cfm?sid=BEAI2&amp;d=1&amp;dt=E</t>
  </si>
  <si>
    <t>https://rivergages.mvr.usace.army.mil/WaterControl/shefdata2.cfm?sid=IL08P&amp;d=1&amp;dt=E</t>
  </si>
  <si>
    <t>https://rivergages.mvr.usace.army.mil/WaterControl/shefdata2.cfm?sid=IL05P&amp;d=1&amp;dt=E</t>
  </si>
  <si>
    <t>(IWW) Gage Location / Discripton</t>
  </si>
  <si>
    <t>(MISS) Gage Location / Discripton</t>
  </si>
  <si>
    <r>
      <t xml:space="preserve">   1.</t>
    </r>
    <r>
      <rPr>
        <sz val="10"/>
        <rFont val="Arial"/>
        <family val="2"/>
      </rPr>
      <t xml:space="preserve"> Select river with radio buttons.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Toggle back and forth if one is already selected.</t>
    </r>
  </si>
  <si>
    <r>
      <t xml:space="preserve">   2.</t>
    </r>
    <r>
      <rPr>
        <sz val="10"/>
        <rFont val="Arial"/>
        <family val="2"/>
      </rPr>
      <t xml:space="preserve"> Select upper and lower gages from list boxes.</t>
    </r>
  </si>
  <si>
    <r>
      <t xml:space="preserve">   4</t>
    </r>
    <r>
      <rPr>
        <sz val="10"/>
        <rFont val="Arial"/>
        <family val="2"/>
      </rPr>
      <t>. Enter the affected river mile of survey.</t>
    </r>
  </si>
  <si>
    <r>
      <t xml:space="preserve">   5.</t>
    </r>
    <r>
      <rPr>
        <sz val="10"/>
        <rFont val="Arial"/>
        <family val="2"/>
      </rPr>
      <t xml:space="preserve"> "Comparison 2" is optional. Use if needed.</t>
    </r>
  </si>
  <si>
    <r>
      <t xml:space="preserve">   3.</t>
    </r>
    <r>
      <rPr>
        <sz val="10"/>
        <rFont val="Arial"/>
        <family val="2"/>
      </rPr>
      <t xml:space="preserve"> Press button below to pull gage reading.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You must be connected to the internet.</t>
    </r>
  </si>
  <si>
    <t xml:space="preserve">Survey #: </t>
  </si>
  <si>
    <t>Upper Gage:</t>
  </si>
  <si>
    <t>Lower Gage:</t>
  </si>
  <si>
    <t>Horizontal Datum:</t>
  </si>
  <si>
    <t>Vertical Datum:</t>
  </si>
  <si>
    <t>Flat Pool:</t>
  </si>
  <si>
    <t>Upper</t>
  </si>
  <si>
    <t>Lower</t>
  </si>
  <si>
    <t>Water Surface:</t>
  </si>
  <si>
    <t>NAD83 1202 IL West</t>
  </si>
  <si>
    <t>Calm</t>
  </si>
  <si>
    <t>Survey Crew:</t>
  </si>
  <si>
    <t>Survey Vessel:</t>
  </si>
  <si>
    <t>Sea State:</t>
  </si>
  <si>
    <t>Avg. Speed of Sound:</t>
  </si>
  <si>
    <t>Date:</t>
  </si>
  <si>
    <t>US Army Corps of Engineers - Rock Island District - Water Control Center - Contact Us</t>
  </si>
  <si>
    <t>Stage:</t>
  </si>
  <si>
    <t>HYDROGRAPHIC SURVEY META DATA</t>
  </si>
  <si>
    <t>Draft:</t>
  </si>
  <si>
    <t>Targets:</t>
  </si>
  <si>
    <t>Cells colored like this are for input</t>
  </si>
  <si>
    <t>Do not need to do anything in these cells</t>
  </si>
  <si>
    <t>INSTRUCTIONS</t>
  </si>
  <si>
    <t>River Gage Miles:</t>
  </si>
  <si>
    <t xml:space="preserve">Manual Reading Only </t>
  </si>
  <si>
    <r>
      <t>Oquawka</t>
    </r>
    <r>
      <rPr>
        <sz val="10"/>
        <rFont val="Arial"/>
        <family val="2"/>
      </rPr>
      <t>, Left Bank, staff at downstream end Marina Gage zero</t>
    </r>
    <r>
      <rPr>
        <b/>
        <sz val="10"/>
        <rFont val="Arial"/>
        <family val="2"/>
      </rPr>
      <t>=513.2</t>
    </r>
  </si>
  <si>
    <r>
      <t>Linwood</t>
    </r>
    <r>
      <rPr>
        <sz val="10"/>
        <rFont val="Arial"/>
        <family val="2"/>
      </rPr>
      <t>, Right Bank, staff at Amoco dock</t>
    </r>
    <r>
      <rPr>
        <b/>
        <sz val="10"/>
        <rFont val="Arial"/>
        <family val="2"/>
      </rPr>
      <t xml:space="preserve"> Gage zero =534.2</t>
    </r>
  </si>
  <si>
    <r>
      <t>Specht's Ferry</t>
    </r>
    <r>
      <rPr>
        <sz val="10"/>
        <rFont val="Arial"/>
        <family val="2"/>
      </rPr>
      <t xml:space="preserve">, Right Bank, staff on rock wall </t>
    </r>
    <r>
      <rPr>
        <b/>
        <sz val="10"/>
        <rFont val="Arial"/>
        <family val="2"/>
      </rPr>
      <t>Gage zero =590.6</t>
    </r>
  </si>
  <si>
    <r>
      <t>Princeton</t>
    </r>
    <r>
      <rPr>
        <sz val="10"/>
        <rFont val="Arial"/>
        <family val="2"/>
      </rPr>
      <t xml:space="preserve">, Right Bank, staff </t>
    </r>
    <r>
      <rPr>
        <b/>
        <sz val="10"/>
        <rFont val="Arial"/>
        <family val="2"/>
      </rPr>
      <t>Gage Zero = 563.6</t>
    </r>
  </si>
  <si>
    <t>Mississippi River</t>
  </si>
  <si>
    <t>Hypack Geodetic Parameters</t>
  </si>
  <si>
    <t>Pool</t>
  </si>
  <si>
    <t>Elev. (Flat Pool)</t>
  </si>
  <si>
    <t>88 converted</t>
  </si>
  <si>
    <t>Orthometric Height Correction with 88 conversion (ft)</t>
  </si>
  <si>
    <t>Special Case</t>
  </si>
  <si>
    <t xml:space="preserve">Iliniois Waterway </t>
  </si>
  <si>
    <t>Brandon Rd</t>
  </si>
  <si>
    <t>Dresden</t>
  </si>
  <si>
    <t>Marseilles</t>
  </si>
  <si>
    <t>Starved Rock</t>
  </si>
  <si>
    <t>Peoria</t>
  </si>
  <si>
    <t>LaGrange</t>
  </si>
  <si>
    <r>
      <t>Lacon</t>
    </r>
    <r>
      <rPr>
        <sz val="10"/>
        <rFont val="Arial"/>
        <family val="2"/>
      </rPr>
      <t>, Left Bank, metal pipe, (future, staff on bridge pier)</t>
    </r>
  </si>
  <si>
    <t>Pool 20</t>
  </si>
  <si>
    <t>Lock 19, Tail (downstream side)(entire pool low water Flat Pool = Variable)</t>
  </si>
  <si>
    <t>Warsaw, Left Bank, staff on sheet pile upstream of elevator</t>
  </si>
  <si>
    <t>Gregory, Right Bank, tape + satellite in shed at elevator</t>
  </si>
  <si>
    <t>Lock 20, Pool (upstream side)(entire pool high water Flat Pool Elev. = 480.0)</t>
  </si>
  <si>
    <t>Mississippi River Gage Sheet</t>
  </si>
  <si>
    <t>Location / Description All Gages MSL 1912 Datum</t>
  </si>
  <si>
    <t>Gage Zero</t>
  </si>
  <si>
    <t>+</t>
  </si>
  <si>
    <t>Gage at LOL (Flat Pool)</t>
  </si>
  <si>
    <t>=</t>
  </si>
  <si>
    <t>LOL Elev. (Flat Pool)</t>
  </si>
  <si>
    <r>
      <t>Specht's Ferry</t>
    </r>
    <r>
      <rPr>
        <sz val="10"/>
        <rFont val="Arial"/>
        <family val="2"/>
      </rPr>
      <t xml:space="preserve">, Right Bank, staff on rock wall </t>
    </r>
  </si>
  <si>
    <t>NA</t>
  </si>
  <si>
    <r>
      <t>Comanche</t>
    </r>
    <r>
      <rPr>
        <sz val="10"/>
        <rFont val="Arial"/>
        <family val="2"/>
      </rPr>
      <t>, Right Bank, staff + tape inside satellite shed foot 8th Ave.</t>
    </r>
  </si>
  <si>
    <r>
      <t>Princeton</t>
    </r>
    <r>
      <rPr>
        <sz val="10"/>
        <rFont val="Arial"/>
        <family val="2"/>
      </rPr>
      <t xml:space="preserve">, Right Bank, staff </t>
    </r>
  </si>
  <si>
    <r>
      <t>Linwood</t>
    </r>
    <r>
      <rPr>
        <sz val="10"/>
        <rFont val="Arial"/>
        <family val="2"/>
      </rPr>
      <t>, Right Bank, staff at Amoco dock</t>
    </r>
  </si>
  <si>
    <r>
      <t>Oquawka</t>
    </r>
    <r>
      <rPr>
        <sz val="10"/>
        <rFont val="Arial"/>
        <family val="2"/>
      </rPr>
      <t>, Left Bank, staff at downstream end Marina</t>
    </r>
  </si>
  <si>
    <r>
      <t>Ft Madison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RR Bridge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(Memphis datum -6.8 to adj to 1912) staff + satellite shed on bank</t>
    </r>
  </si>
  <si>
    <r>
      <t xml:space="preserve">Lock 19, </t>
    </r>
    <r>
      <rPr>
        <b/>
        <sz val="9"/>
        <rFont val="Arial"/>
        <family val="2"/>
      </rPr>
      <t>Tail (downstream side entire pool Flat Pool Elevation Variable)</t>
    </r>
  </si>
  <si>
    <t>Lock 20, Pool (upstream side entire pool Flat Pool Elevation Variable)</t>
  </si>
  <si>
    <t>(All gages in MSL 1912 Datum unless otherwise noted)</t>
  </si>
  <si>
    <t xml:space="preserve"> </t>
  </si>
  <si>
    <t>ILLINOIS RIVER GAGE SHEET</t>
  </si>
  <si>
    <t>Location / description</t>
  </si>
  <si>
    <t>river mile</t>
  </si>
  <si>
    <t>flat pool</t>
  </si>
  <si>
    <r>
      <t>Spring Valley</t>
    </r>
    <r>
      <rPr>
        <sz val="10"/>
        <rFont val="Arial"/>
        <family val="2"/>
      </rPr>
      <t>, Right Bank, staff on bridge pier (reads 2 tenths high)</t>
    </r>
  </si>
  <si>
    <r>
      <t>Peoria Lock</t>
    </r>
    <r>
      <rPr>
        <sz val="10"/>
        <rFont val="Arial"/>
        <family val="2"/>
      </rPr>
      <t>, Tail (downstream side)(water over lock walls = 445.0)</t>
    </r>
  </si>
  <si>
    <r>
      <t>LaGrange Lock</t>
    </r>
    <r>
      <rPr>
        <sz val="10"/>
        <rFont val="Arial"/>
        <family val="2"/>
      </rPr>
      <t>, Tail (downstream side)(water over lock walls =434.0)</t>
    </r>
  </si>
  <si>
    <t>(All gages in MSL 1929 Datum unless otherwise noted)</t>
  </si>
  <si>
    <t>Survey start time:</t>
  </si>
  <si>
    <t>Survey end time:</t>
  </si>
  <si>
    <t>Total Time:</t>
  </si>
  <si>
    <t>Sonar:</t>
  </si>
  <si>
    <t>SV Dubuque</t>
  </si>
  <si>
    <t>SV Clark</t>
  </si>
  <si>
    <t>SV Cormorant</t>
  </si>
  <si>
    <t>SV Ragnar</t>
  </si>
  <si>
    <t>SV Grass Carp</t>
  </si>
  <si>
    <t>SV River Otter</t>
  </si>
  <si>
    <t>SV Echoboat</t>
  </si>
  <si>
    <t>SV Bathycat</t>
  </si>
  <si>
    <t>SV Mussel Boat</t>
  </si>
  <si>
    <t>R2 Sonic 2020</t>
  </si>
  <si>
    <t>R2 Sonic 2024</t>
  </si>
  <si>
    <t>R2 Sonic 2026</t>
  </si>
  <si>
    <t>Norbit Winghead</t>
  </si>
  <si>
    <t>Norbit IWBMS 1</t>
  </si>
  <si>
    <t>Norbit IWBMS 2</t>
  </si>
  <si>
    <t>Norbit IWBMS 3</t>
  </si>
  <si>
    <t>PingDSP</t>
  </si>
  <si>
    <t>Edgetech SS</t>
  </si>
  <si>
    <t>Starfish SS</t>
  </si>
  <si>
    <t>Ross Labs 200frq</t>
  </si>
  <si>
    <t>Bathycat 200frq</t>
  </si>
  <si>
    <t>NAD83 1202 IL East</t>
  </si>
  <si>
    <t>MSL 1912</t>
  </si>
  <si>
    <t>NGVD 1929</t>
  </si>
  <si>
    <t>Norbit iWBMS 1 is on the Ragnar</t>
  </si>
  <si>
    <t>Norbit iWBMS 2 is on the Cormorant</t>
  </si>
  <si>
    <t>Norbit iWBMS 3 is on the Grass Carp</t>
  </si>
  <si>
    <t>NAVD 88</t>
  </si>
  <si>
    <t>Select Datum</t>
  </si>
  <si>
    <t>Conversion Factor</t>
  </si>
  <si>
    <t>To</t>
  </si>
  <si>
    <t>NAV 88</t>
  </si>
  <si>
    <t>NGVD 29</t>
  </si>
  <si>
    <t>Elevation Converter</t>
  </si>
  <si>
    <t xml:space="preserve"> 1. Select the Datum to convert in the first drop down</t>
  </si>
  <si>
    <t xml:space="preserve"> 2. Select the desired Datum in the second drop down</t>
  </si>
  <si>
    <t xml:space="preserve"> 3. Enter the elevation to convert in the first box</t>
  </si>
  <si>
    <t xml:space="preserve"> 4. To swap Datums press the swap button between the boxes</t>
  </si>
  <si>
    <t>!!!!Need Table for Converter!!!!</t>
  </si>
  <si>
    <t>Target Area</t>
  </si>
  <si>
    <t>Instructions</t>
  </si>
  <si>
    <t>Date / Time</t>
  </si>
  <si>
    <t>Elevation (Ft)</t>
  </si>
  <si>
    <t>https://rivergages.mvr.usace.army.mil/WaterControl/shefdata2.cfm?sid=DLDI4&amp;d=1&amp;dt=E</t>
  </si>
  <si>
    <t>https://rivergages.mvr.usace.army.mil/WaterControl/shefdata2.cfm?sid=BLVI4&amp;d=1&amp;dt=E</t>
  </si>
  <si>
    <t>https://rivergages.mvr.usace.army.mil/WaterControl/shefdata2.cfm?sid=FLTI2&amp;d=1&amp;dt=E</t>
  </si>
  <si>
    <t>https://rivergages.mvr.usace.army.mil/WaterControl/shefdata2.cfm?sid=LECI4&amp;d=1&amp;dt=E</t>
  </si>
  <si>
    <t>https://rivergages.mvr.usace.army.mil/WaterControl/shefdata2.cfm?sid=RCKI2&amp;d=1&amp;dt=E</t>
  </si>
  <si>
    <t>https://rivergages.mvr.usace.army.mil/WaterControl/shefdata2.cfm?sid=ILNI2&amp;d=1&amp;dt=E</t>
  </si>
  <si>
    <t>https://rivergages.mvr.usace.army.mil/WaterControl/shefdata2.cfm?sid=NBOI2&amp;d=1&amp;dt=E</t>
  </si>
  <si>
    <t>https://rivergages.mvr.usace.army.mil/WaterControl/shefdata2.cfm?sid=GLDI2&amp;d=1&amp;dt=E</t>
  </si>
  <si>
    <t>https://rivergages.mvr.usace.army.mil/WaterControl/shefdata2.cfm?sid=EOKI4&amp;d=1&amp;dt=E</t>
  </si>
  <si>
    <t>https://rivergages.mvr.usace.army.mil/WaterControl/shefdata2.cfm?sid=CANM7&amp;d=1&amp;dt=E</t>
  </si>
  <si>
    <t>https://rivergages.mvr.usace.army.mil/WaterControl/shefdata2.cfm?sid=QLDI2&amp;d=1&amp;dt=E</t>
  </si>
  <si>
    <t>https://rivergages.mvr.usace.army.mil/WaterControl/shefdata2.cfm?sid=SVRM7&amp;d=1&amp;dt=E</t>
  </si>
  <si>
    <t>https://rivergages.mvr.usace.army.mil/WaterControl/shefdata2.cfm?sid=LOKI2&amp;d=1&amp;dt=E</t>
  </si>
  <si>
    <t>https://rivergages.mvr.usace.army.mil/WaterControl/shefdata2.cfm?sid=JOLI2&amp;d=1&amp;dt=E</t>
  </si>
  <si>
    <t>https://rivergages.mvr.usace.army.mil/WaterControl/shefdata2.cfm?sid=OBII2&amp;d=1&amp;dt=E</t>
  </si>
  <si>
    <t>https://rivergages.mvr.usace.army.mil/WaterControl/shefdata2.cfm?sid=MMOI2&amp;d=1&amp;dt=E</t>
  </si>
  <si>
    <t>https://rivergages.mvr.usace.army.mil/WaterControl/shefdata2.cfm?sid=DRSI2&amp;d=1&amp;dt=E</t>
  </si>
  <si>
    <t>https://rivergages.mvr.usace.army.mil/WaterControl/shefdata2.cfm?sid=SRDI2&amp;d=1&amp;dt=E</t>
  </si>
  <si>
    <t>https://rivergages.mvr.usace.army.mil/WaterControl/shefdata2.cfm?sid=PRAI2&amp;d=1&amp;dt=E</t>
  </si>
  <si>
    <t>https://rivergages.mvr.usace.army.mil/WaterControl/shefdata2.cfm?sid=NLGI2&amp;d=1&amp;dt=E</t>
  </si>
  <si>
    <t>Survey Type:</t>
  </si>
  <si>
    <t>Conditions</t>
  </si>
  <si>
    <t>Edited by:</t>
  </si>
  <si>
    <t>Edited date:</t>
  </si>
  <si>
    <t xml:space="preserve">DIFF: </t>
  </si>
  <si>
    <t>Cpt. Ressie, Crist</t>
  </si>
  <si>
    <t>hunter</t>
  </si>
  <si>
    <t>Reach/Name:</t>
  </si>
  <si>
    <t>Flow (CFS)</t>
  </si>
  <si>
    <t>06/08/2026 14:00</t>
  </si>
  <si>
    <t>441.46</t>
  </si>
  <si>
    <t>******</t>
  </si>
  <si>
    <t>06/08/2026 13:00</t>
  </si>
  <si>
    <t>441.41</t>
  </si>
  <si>
    <t>15,800</t>
  </si>
  <si>
    <t>440.23</t>
  </si>
  <si>
    <t>IWW_PE_1800-1820_26A</t>
  </si>
  <si>
    <t>Chillicothe</t>
  </si>
  <si>
    <t>06/09/2026 07:00</t>
  </si>
  <si>
    <t>441.98</t>
  </si>
  <si>
    <t>06/09/2026 06:00</t>
  </si>
  <si>
    <t>441.96</t>
  </si>
  <si>
    <t>06/09/2026 05:00</t>
  </si>
  <si>
    <t>441.93</t>
  </si>
  <si>
    <t>19,400</t>
  </si>
  <si>
    <t>06/09/2026 04:00</t>
  </si>
  <si>
    <t>441.92</t>
  </si>
  <si>
    <t>18,800</t>
  </si>
  <si>
    <t>06/09/2026 03:00</t>
  </si>
  <si>
    <t>18,100</t>
  </si>
  <si>
    <t>06/09/2026 02:00</t>
  </si>
  <si>
    <t>441.88</t>
  </si>
  <si>
    <t>19,700</t>
  </si>
  <si>
    <t>06/09/2026 01:00</t>
  </si>
  <si>
    <t>441.86</t>
  </si>
  <si>
    <t>06/09/2026 00:00</t>
  </si>
  <si>
    <t>441.82</t>
  </si>
  <si>
    <t>19,900</t>
  </si>
  <si>
    <t>06/08/2026 23:00</t>
  </si>
  <si>
    <t>441.80</t>
  </si>
  <si>
    <t>19,500</t>
  </si>
  <si>
    <t>06/08/2026 22:00</t>
  </si>
  <si>
    <t>441.68</t>
  </si>
  <si>
    <t>06/08/2026 21:00</t>
  </si>
  <si>
    <t>441.77</t>
  </si>
  <si>
    <t>06/08/2026 20:00</t>
  </si>
  <si>
    <t>441.74</t>
  </si>
  <si>
    <t>19,600</t>
  </si>
  <si>
    <t>06/08/2026 19:00</t>
  </si>
  <si>
    <t>441.72</t>
  </si>
  <si>
    <t>18,300</t>
  </si>
  <si>
    <t>06/08/2026 18:00</t>
  </si>
  <si>
    <t>441.67</t>
  </si>
  <si>
    <t>18,500</t>
  </si>
  <si>
    <t>06/08/2026 17:00</t>
  </si>
  <si>
    <t>441.62</t>
  </si>
  <si>
    <t>18,000</t>
  </si>
  <si>
    <t>06/08/2026 16:00</t>
  </si>
  <si>
    <t>441.53</t>
  </si>
  <si>
    <t>18,200</t>
  </si>
  <si>
    <t>06/08/2026 15:00</t>
  </si>
  <si>
    <t>441.52</t>
  </si>
  <si>
    <t>13,600</t>
  </si>
  <si>
    <t>17,400</t>
  </si>
  <si>
    <t>440.22</t>
  </si>
  <si>
    <t>440.21</t>
  </si>
  <si>
    <t>440.25</t>
  </si>
  <si>
    <t>440.27</t>
  </si>
  <si>
    <t>440.19</t>
  </si>
  <si>
    <t>440.17</t>
  </si>
  <si>
    <t>3 R, 2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</si>
</sst>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F800]dddd\,\ mmmm\ dd\,\ yyyy"/>
    <numFmt numFmtId="166" formatCode="h:m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8"/>
      <name val="Arial"/>
      <family val="2"/>
    </font>
    <font>
      <sz val="18"/>
      <color indexed="8"/>
      <name val="Arial"/>
      <family val="2"/>
    </font>
    <font>
      <b/>
      <i/>
      <sz val="18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0"/>
      <color indexed="8"/>
      <name val="Arial"/>
      <family val="2"/>
    </font>
    <font>
      <sz val="18"/>
      <color indexed="9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u/>
      <sz val="10"/>
      <color theme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36"/>
      <name val="Aptos Narrow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30"/>
      <color rgb="FFFF0000"/>
      <name val="Arial"/>
      <family val="2"/>
    </font>
    <font>
      <sz val="30"/>
      <color theme="0"/>
      <name val="Arial"/>
      <family val="2"/>
    </font>
    <font>
      <b/>
      <sz val="14"/>
      <color rgb="FF000000"/>
      <name val="Arial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36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 tint="-0.899990844447157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5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ck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 diagonalUp="1" diagonalDown="1">
      <left/>
      <right/>
      <top/>
      <bottom/>
      <diagonal style="hair">
        <color auto="1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17" fillId="0" borderId="0" applyNumberFormat="0" applyFill="0" applyBorder="0" applyAlignment="0" applyProtection="0"/>
    <xf numFmtId="0" fontId="20" fillId="6" borderId="15" applyNumberFormat="0" applyAlignment="0" applyProtection="0"/>
    <xf numFmtId="0" fontId="21" fillId="7" borderId="15" applyNumberFormat="0" applyAlignment="0" applyProtection="0"/>
    <xf numFmtId="0" fontId="22" fillId="8" borderId="16" applyNumberFormat="0" applyAlignment="0" applyProtection="0"/>
    <xf numFmtId="0" fontId="1" fillId="14" borderId="0" applyNumberFormat="0" applyBorder="0" applyAlignment="0" applyProtection="0"/>
  </cellStyleXfs>
  <cellXfs count="144">
    <xf numFmtId="0" fontId="0" fillId="0" borderId="0" xfId="0"/>
    <xf numFmtId="0" fontId="10" fillId="0" borderId="1" xfId="0" applyFont="1" applyBorder="1"/>
    <xf numFmtId="164" fontId="10" fillId="0" borderId="1" xfId="0" applyNumberFormat="1" applyFont="1" applyBorder="1"/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2" fontId="8" fillId="0" borderId="0" xfId="0" applyNumberFormat="1" applyFont="1" applyAlignment="1" applyProtection="1">
      <alignment horizontal="center"/>
      <protection locked="0"/>
    </xf>
    <xf numFmtId="2" fontId="8" fillId="0" borderId="0" xfId="0" applyNumberFormat="1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horizontal="centerContinuous"/>
    </xf>
    <xf numFmtId="0" fontId="6" fillId="0" borderId="0" xfId="0" applyFont="1" applyAlignment="1" applyProtection="1">
      <alignment horizontal="center"/>
      <protection locked="0"/>
    </xf>
    <xf numFmtId="2" fontId="8" fillId="0" borderId="2" xfId="0" applyNumberFormat="1" applyFont="1" applyBorder="1" applyAlignment="1" applyProtection="1">
      <alignment horizontal="center"/>
      <protection locked="0"/>
    </xf>
    <xf numFmtId="2" fontId="8" fillId="0" borderId="3" xfId="0" applyNumberFormat="1" applyFont="1" applyBorder="1" applyAlignment="1" applyProtection="1">
      <alignment horizontal="center"/>
      <protection locked="0"/>
    </xf>
    <xf numFmtId="0" fontId="10" fillId="0" borderId="4" xfId="0" applyFont="1" applyBorder="1"/>
    <xf numFmtId="164" fontId="0" fillId="0" borderId="4" xfId="0" applyNumberForma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0" fontId="16" fillId="0" borderId="0" xfId="0" applyFont="1"/>
    <xf numFmtId="0" fontId="13" fillId="2" borderId="0" xfId="0" applyFont="1" applyFill="1" applyAlignment="1">
      <alignment horizontal="center"/>
    </xf>
    <xf numFmtId="0" fontId="11" fillId="0" borderId="1" xfId="0" applyFont="1" applyBorder="1"/>
    <xf numFmtId="164" fontId="11" fillId="0" borderId="1" xfId="0" applyNumberFormat="1" applyFont="1" applyBorder="1"/>
    <xf numFmtId="0" fontId="10" fillId="3" borderId="5" xfId="0" applyFont="1" applyFill="1" applyBorder="1"/>
    <xf numFmtId="164" fontId="10" fillId="3" borderId="5" xfId="0" applyNumberFormat="1" applyFont="1" applyFill="1" applyBorder="1"/>
    <xf numFmtId="0" fontId="10" fillId="0" borderId="0" xfId="0" applyFont="1"/>
    <xf numFmtId="2" fontId="13" fillId="2" borderId="0" xfId="0" applyNumberFormat="1" applyFont="1" applyFill="1" applyAlignment="1">
      <alignment horizontal="center"/>
    </xf>
    <xf numFmtId="0" fontId="13" fillId="2" borderId="0" xfId="0" applyFont="1" applyFill="1"/>
    <xf numFmtId="2" fontId="13" fillId="2" borderId="0" xfId="0" applyNumberFormat="1" applyFont="1" applyFill="1" applyAlignment="1">
      <alignment horizontal="right"/>
    </xf>
    <xf numFmtId="164" fontId="0" fillId="0" borderId="6" xfId="0" applyNumberFormat="1" applyBorder="1" applyAlignment="1">
      <alignment horizontal="center"/>
    </xf>
    <xf numFmtId="0" fontId="2" fillId="0" borderId="0" xfId="0" applyFont="1"/>
    <xf numFmtId="164" fontId="10" fillId="0" borderId="0" xfId="0" applyNumberFormat="1" applyFont="1"/>
    <xf numFmtId="0" fontId="10" fillId="0" borderId="8" xfId="0" applyFont="1" applyBorder="1"/>
    <xf numFmtId="0" fontId="10" fillId="0" borderId="7" xfId="0" applyFont="1" applyBorder="1"/>
    <xf numFmtId="0" fontId="11" fillId="0" borderId="7" xfId="0" applyFont="1" applyBorder="1"/>
    <xf numFmtId="164" fontId="11" fillId="0" borderId="0" xfId="0" applyNumberFormat="1" applyFont="1"/>
    <xf numFmtId="0" fontId="11" fillId="0" borderId="9" xfId="0" applyFont="1" applyBorder="1"/>
    <xf numFmtId="0" fontId="10" fillId="3" borderId="10" xfId="0" applyFont="1" applyFill="1" applyBorder="1"/>
    <xf numFmtId="0" fontId="2" fillId="0" borderId="7" xfId="0" applyFont="1" applyBorder="1"/>
    <xf numFmtId="0" fontId="17" fillId="0" borderId="7" xfId="1" applyBorder="1"/>
    <xf numFmtId="2" fontId="18" fillId="0" borderId="3" xfId="0" applyNumberFormat="1" applyFont="1" applyBorder="1" applyAlignment="1" applyProtection="1">
      <alignment horizontal="left" wrapText="1"/>
      <protection locked="0"/>
    </xf>
    <xf numFmtId="0" fontId="0" fillId="4" borderId="0" xfId="0" applyFill="1"/>
    <xf numFmtId="0" fontId="6" fillId="0" borderId="0" xfId="0" applyFont="1" applyAlignment="1">
      <alignment horizontal="center" vertical="center"/>
    </xf>
    <xf numFmtId="0" fontId="0" fillId="5" borderId="0" xfId="0" applyFill="1"/>
    <xf numFmtId="0" fontId="0" fillId="5" borderId="12" xfId="0" applyFill="1" applyBorder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  <xf numFmtId="0" fontId="21" fillId="7" borderId="15" xfId="3" applyAlignment="1">
      <alignment horizontal="left"/>
    </xf>
    <xf numFmtId="2" fontId="21" fillId="7" borderId="15" xfId="3" applyNumberFormat="1" applyAlignment="1">
      <alignment horizontal="left"/>
    </xf>
    <xf numFmtId="0" fontId="20" fillId="6" borderId="15" xfId="2" applyAlignment="1">
      <alignment horizontal="left"/>
    </xf>
    <xf numFmtId="0" fontId="20" fillId="6" borderId="15" xfId="2" applyAlignment="1">
      <alignment horizontal="left" vertical="top"/>
    </xf>
    <xf numFmtId="0" fontId="22" fillId="8" borderId="16" xfId="4" applyAlignment="1">
      <alignment horizontal="center"/>
    </xf>
    <xf numFmtId="0" fontId="0" fillId="9" borderId="11" xfId="0" applyFill="1" applyBorder="1"/>
    <xf numFmtId="0" fontId="0" fillId="0" borderId="0" xfId="0" applyAlignment="1">
      <alignment horizontal="center"/>
    </xf>
    <xf numFmtId="0" fontId="20" fillId="6" borderId="15" xfId="2" applyAlignment="1">
      <alignment horizontal="center"/>
    </xf>
    <xf numFmtId="0" fontId="21" fillId="7" borderId="15" xfId="3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0" fontId="24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2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3" fillId="0" borderId="0" xfId="0" applyFont="1" applyAlignment="1">
      <alignment horizontal="left"/>
    </xf>
    <xf numFmtId="0" fontId="15" fillId="0" borderId="4" xfId="0" applyFont="1" applyBorder="1" applyAlignment="1">
      <alignment horizontal="center" vertical="center"/>
    </xf>
    <xf numFmtId="164" fontId="15" fillId="0" borderId="4" xfId="0" applyNumberFormat="1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/>
    </xf>
    <xf numFmtId="164" fontId="18" fillId="0" borderId="4" xfId="0" applyNumberFormat="1" applyFont="1" applyBorder="1" applyAlignment="1">
      <alignment horizontal="center" vertical="center" wrapText="1"/>
    </xf>
    <xf numFmtId="0" fontId="0" fillId="0" borderId="4" xfId="0" quotePrefix="1" applyBorder="1" applyAlignment="1">
      <alignment horizontal="center"/>
    </xf>
    <xf numFmtId="0" fontId="10" fillId="10" borderId="4" xfId="0" applyFont="1" applyFill="1" applyBorder="1"/>
    <xf numFmtId="164" fontId="0" fillId="1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0" borderId="4" xfId="0" applyFont="1" applyBorder="1" applyAlignment="1">
      <alignment horizontal="center"/>
    </xf>
    <xf numFmtId="14" fontId="20" fillId="6" borderId="15" xfId="2" applyNumberFormat="1" applyAlignment="1">
      <alignment horizontal="left"/>
    </xf>
    <xf numFmtId="165" fontId="20" fillId="6" borderId="15" xfId="2" applyNumberFormat="1" applyAlignment="1">
      <alignment horizontal="left" vertical="top"/>
    </xf>
    <xf numFmtId="166" fontId="20" fillId="6" borderId="15" xfId="2" applyNumberFormat="1" applyAlignment="1">
      <alignment horizontal="left" vertical="top"/>
    </xf>
    <xf numFmtId="14" fontId="2" fillId="0" borderId="0" xfId="0" applyNumberFormat="1" applyFont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" xfId="0" applyBorder="1"/>
    <xf numFmtId="0" fontId="0" fillId="0" borderId="27" xfId="0" applyBorder="1"/>
    <xf numFmtId="0" fontId="30" fillId="11" borderId="28" xfId="0" applyFont="1" applyFill="1" applyBorder="1"/>
    <xf numFmtId="0" fontId="30" fillId="11" borderId="5" xfId="0" applyFont="1" applyFill="1" applyBorder="1"/>
    <xf numFmtId="0" fontId="30" fillId="11" borderId="29" xfId="0" applyFont="1" applyFill="1" applyBorder="1"/>
    <xf numFmtId="0" fontId="29" fillId="0" borderId="33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4" fillId="11" borderId="31" xfId="0" applyFont="1" applyFill="1" applyBorder="1" applyAlignment="1">
      <alignment horizontal="center"/>
    </xf>
    <xf numFmtId="0" fontId="34" fillId="11" borderId="32" xfId="0" applyFont="1" applyFill="1" applyBorder="1" applyAlignment="1">
      <alignment horizontal="center"/>
    </xf>
    <xf numFmtId="0" fontId="31" fillId="0" borderId="34" xfId="0" applyFont="1" applyBorder="1"/>
    <xf numFmtId="0" fontId="35" fillId="12" borderId="0" xfId="0" applyFont="1" applyFill="1" applyAlignment="1">
      <alignment horizontal="center"/>
    </xf>
    <xf numFmtId="0" fontId="10" fillId="0" borderId="20" xfId="0" applyFont="1" applyBorder="1" applyAlignment="1">
      <alignment horizontal="center"/>
    </xf>
    <xf numFmtId="0" fontId="17" fillId="0" borderId="0" xfId="1"/>
    <xf numFmtId="0" fontId="36" fillId="11" borderId="30" xfId="0" applyFont="1" applyFill="1" applyBorder="1" applyAlignment="1">
      <alignment horizontal="center"/>
    </xf>
    <xf numFmtId="0" fontId="0" fillId="0" borderId="12" xfId="0" applyBorder="1"/>
    <xf numFmtId="0" fontId="31" fillId="0" borderId="12" xfId="0" applyFont="1" applyBorder="1"/>
    <xf numFmtId="2" fontId="28" fillId="0" borderId="13" xfId="0" applyNumberFormat="1" applyFont="1" applyBorder="1"/>
    <xf numFmtId="0" fontId="37" fillId="0" borderId="0" xfId="0" applyFont="1" applyAlignment="1">
      <alignment vertical="center"/>
    </xf>
    <xf numFmtId="0" fontId="1" fillId="14" borderId="0" xfId="5" applyAlignment="1">
      <alignment horizontal="righ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22" fillId="8" borderId="17" xfId="4" applyBorder="1" applyAlignment="1">
      <alignment horizontal="center"/>
    </xf>
    <xf numFmtId="0" fontId="22" fillId="8" borderId="18" xfId="4" applyBorder="1" applyAlignment="1">
      <alignment horizontal="center"/>
    </xf>
    <xf numFmtId="0" fontId="13" fillId="2" borderId="0" xfId="0" applyFont="1" applyFill="1" applyAlignment="1">
      <alignment horizontal="center"/>
    </xf>
    <xf numFmtId="0" fontId="9" fillId="0" borderId="2" xfId="0" applyFont="1" applyBorder="1" applyAlignment="1" applyProtection="1">
      <alignment horizontal="center"/>
      <protection locked="0"/>
    </xf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2" fontId="9" fillId="0" borderId="20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2" fontId="9" fillId="0" borderId="29" xfId="0" applyNumberFormat="1" applyFont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0" xfId="0" applyFont="1" applyFill="1" applyBorder="1" applyAlignment="1">
      <alignment horizontal="center"/>
    </xf>
    <xf numFmtId="0" fontId="13" fillId="2" borderId="32" xfId="0" applyFont="1" applyFill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3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13" fillId="2" borderId="14" xfId="0" applyFont="1" applyFill="1" applyBorder="1" applyAlignment="1">
      <alignment horizontal="center"/>
    </xf>
    <xf numFmtId="0" fontId="13" fillId="2" borderId="35" xfId="0" applyFont="1" applyFill="1" applyBorder="1" applyAlignment="1">
      <alignment horizontal="center"/>
    </xf>
    <xf numFmtId="0" fontId="38" fillId="13" borderId="0" xfId="0" applyFont="1" applyFill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2" fontId="9" fillId="0" borderId="34" xfId="0" applyNumberFormat="1" applyFont="1" applyBorder="1" applyAlignment="1">
      <alignment horizontal="center"/>
    </xf>
    <xf numFmtId="2" fontId="9" fillId="0" borderId="13" xfId="0" applyNumberFormat="1" applyFont="1" applyBorder="1" applyAlignment="1">
      <alignment horizontal="center"/>
    </xf>
    <xf numFmtId="0" fontId="0" fillId="0" borderId="0" xfId="0" applyNumberFormat="1"/>
  </cellXfs>
  <cellStyles count="6">
    <cellStyle name="40% - Accent6" xfId="5" builtinId="51"/>
    <cellStyle name="Calculation" xfId="3" builtinId="22"/>
    <cellStyle name="Check Cell" xfId="4" builtinId="23"/>
    <cellStyle name="Hyperlink" xfId="1" builtinId="8"/>
    <cellStyle name="Input" xfId="2" builtinId="20"/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ndense val="0"/>
        <extend val="0"/>
        <color indexed="55"/>
      </font>
    </dxf>
    <dxf>
      <font>
        <b/>
        <i val="0"/>
        <condense val="0"/>
        <extend val="0"/>
        <color indexed="55"/>
      </font>
    </dxf>
    <dxf>
      <font>
        <b/>
        <i val="0"/>
        <condense val="0"/>
        <extend val="0"/>
        <color indexed="55"/>
      </font>
    </dxf>
    <dxf>
      <font>
        <b/>
        <i val="0"/>
        <condense val="0"/>
        <extend val="0"/>
        <color indexed="55"/>
      </font>
    </dxf>
    <dxf>
      <font>
        <b/>
        <i val="0"/>
        <condense val="0"/>
        <extend val="0"/>
        <color indexed="55"/>
      </font>
    </dxf>
    <dxf>
      <font>
        <b/>
        <i val="0"/>
        <condense val="0"/>
        <extend val="0"/>
        <color indexed="55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0" dropStyle="combo" dx="26" fmlaLink="$B$5" fmlaRange="'Gage Data'!$A$1:$A$65" sel="27" val="21"/>
</file>

<file path=xl/ctrlProps/ctrlProp3.xml><?xml version="1.0" encoding="utf-8"?>
<formControlPr xmlns="http://schemas.microsoft.com/office/spreadsheetml/2009/9/main" objectType="Drop" dropLines="10" dropStyle="combo" dx="26" fmlaLink="$E$5" fmlaRange="'Gage Data'!$A$1:$A$65" sel="31" val="24"/>
</file>

<file path=xl/ctrlProps/ctrlProp4.xml><?xml version="1.0" encoding="utf-8"?>
<formControlPr xmlns="http://schemas.microsoft.com/office/spreadsheetml/2009/9/main" objectType="Radio" checked="Checked" firstButton="1" fmlaLink="$C$5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fmlaLink="$C$8" fmlaRange="'GAGE ZERO DATA'!$A$65:$A$68" sel="1" val="0"/>
</file>

<file path=xl/ctrlProps/ctrlProp8.xml><?xml version="1.0" encoding="utf-8"?>
<formControlPr xmlns="http://schemas.microsoft.com/office/spreadsheetml/2009/9/main" objectType="Drop" dropStyle="combo" dx="22" fmlaLink="$I$8" fmlaRange="'GAGE ZERO DATA'!$A$65:$A$68" sel="1" val="0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17</xdr:row>
          <xdr:rowOff>142875</xdr:rowOff>
        </xdr:from>
        <xdr:to>
          <xdr:col>3</xdr:col>
          <xdr:colOff>190500</xdr:colOff>
          <xdr:row>19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295275</xdr:rowOff>
        </xdr:from>
        <xdr:to>
          <xdr:col>3</xdr:col>
          <xdr:colOff>9525</xdr:colOff>
          <xdr:row>4</xdr:row>
          <xdr:rowOff>190500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1739" name="Rectangle 1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>
          <a:spLocks noChangeArrowheads="1"/>
        </xdr:cNvSpPr>
      </xdr:nvSpPr>
      <xdr:spPr bwMode="auto">
        <a:xfrm>
          <a:off x="627529" y="770965"/>
          <a:ext cx="3119718" cy="2052917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740" name="Rectangle 12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>
          <a:spLocks noChangeArrowheads="1"/>
        </xdr:cNvSpPr>
      </xdr:nvSpPr>
      <xdr:spPr bwMode="auto">
        <a:xfrm>
          <a:off x="4096871" y="770965"/>
          <a:ext cx="3307976" cy="2052917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47625</xdr:rowOff>
        </xdr:from>
        <xdr:to>
          <xdr:col>1</xdr:col>
          <xdr:colOff>1133475</xdr:colOff>
          <xdr:row>3</xdr:row>
          <xdr:rowOff>2140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Illinois River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2</xdr:row>
          <xdr:rowOff>47625</xdr:rowOff>
        </xdr:from>
        <xdr:to>
          <xdr:col>2</xdr:col>
          <xdr:colOff>333375</xdr:colOff>
          <xdr:row>3</xdr:row>
          <xdr:rowOff>2140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Mississippi River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9</xdr:col>
      <xdr:colOff>0</xdr:colOff>
      <xdr:row>17</xdr:row>
      <xdr:rowOff>0</xdr:rowOff>
    </xdr:to>
    <xdr:sp macro="" textlink="">
      <xdr:nvSpPr>
        <xdr:cNvPr id="1741" name="Rectangle 25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>
          <a:spLocks noChangeArrowheads="1"/>
        </xdr:cNvSpPr>
      </xdr:nvSpPr>
      <xdr:spPr bwMode="auto">
        <a:xfrm>
          <a:off x="624840" y="2712720"/>
          <a:ext cx="9784080" cy="1905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742" name="Rectangle 26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>
          <a:spLocks noChangeArrowheads="1"/>
        </xdr:cNvSpPr>
      </xdr:nvSpPr>
      <xdr:spPr bwMode="auto">
        <a:xfrm>
          <a:off x="7611035" y="770965"/>
          <a:ext cx="3119718" cy="2160494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17</xdr:row>
          <xdr:rowOff>161925</xdr:rowOff>
        </xdr:from>
        <xdr:to>
          <xdr:col>9</xdr:col>
          <xdr:colOff>28575</xdr:colOff>
          <xdr:row>19</xdr:row>
          <xdr:rowOff>161925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Gage Readings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2</xdr:row>
      <xdr:rowOff>76200</xdr:rowOff>
    </xdr:from>
    <xdr:to>
      <xdr:col>10</xdr:col>
      <xdr:colOff>352425</xdr:colOff>
      <xdr:row>16</xdr:row>
      <xdr:rowOff>174625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4</xdr:col>
          <xdr:colOff>19050</xdr:colOff>
          <xdr:row>7</xdr:row>
          <xdr:rowOff>219075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219075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5</xdr:col>
          <xdr:colOff>600075</xdr:colOff>
          <xdr:row>8</xdr:row>
          <xdr:rowOff>352425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↔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D33A0-81DC-40EE-907D-B54B48F479C8}" name="RG_UPPER" displayName="RG_UPPER" ref="A2:C22" totalsRowShown="0">
  <autoFilter ref="A2:C22" xr:uid="{B3AD33A0-81DC-40EE-907D-B54B48F479C8}"/>
  <tableColumns count="3">
    <tableColumn id="4" xr3:uid="{57244AC4-596C-4374-9219-F58F4C736656}" name="Date / Time" dataDxfId="4"/>
    <tableColumn id="5" xr3:uid="{35DB8E79-038C-40D5-908C-008607537E32}" name="Elevation (Ft)" dataDxfId="3"/>
    <tableColumn id="6" xr3:uid="{FCF30AA5-211B-4AC2-AB1A-7DD5E81B9446}" name="Flow (CFS)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78CAD4-2D7E-41EC-A4C8-77A009005067}" name="RG_LOWER" displayName="RG_LOWER" ref="M2:N11" totalsRowShown="0">
  <autoFilter ref="M2:N11" xr:uid="{4778CAD4-2D7E-41EC-A4C8-77A009005067}"/>
  <tableColumns count="2">
    <tableColumn id="3" xr3:uid="{4B39600A-1C69-4DFD-A143-38974150B467}" name="Date / Time" dataDxfId="1"/>
    <tableColumn id="4" xr3:uid="{63E6C716-DE91-4433-A0AD-B9FAA29778B5}" name="Elevation (Ft)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500-000003000000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rivergages.mvr.usace.army.mil/WaterControl/shefdata2.cfm?sid=BLVI4&amp;d=1&amp;dt=E" TargetMode="External"/><Relationship Id="rId2" Type="http://schemas.openxmlformats.org/officeDocument/2006/relationships/hyperlink" Target="https://rivergages.mvr.usace.army.mil/WaterControl/shefdata2.cfm?sid=DLDI4&amp;d=1&amp;dt=E" TargetMode="External"/><Relationship Id="rId1" Type="http://schemas.openxmlformats.org/officeDocument/2006/relationships/hyperlink" Target="https://rivergages.mvr.usace.army.mil/WaterControl/shefdata2.cfm?sid=IL05P&amp;d=1&amp;dt=E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ivergages.mvr.usace.army.mil/WaterControl/shefdata2.cfm?sid=FLTI2&amp;d=1&amp;dt=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32"/>
  <sheetViews>
    <sheetView showGridLines="0" topLeftCell="B1" zoomScale="89" zoomScaleNormal="89" workbookViewId="0">
      <selection activeCell="H10" sqref="H10:I10"/>
    </sheetView>
  </sheetViews>
  <sheetFormatPr defaultColWidth="9.19921875" defaultRowHeight="12.75" x14ac:dyDescent="0.35"/>
  <cols>
    <col min="2" max="2" width="25.6640625" customWidth="1"/>
    <col min="3" max="3" width="22" customWidth="1"/>
    <col min="4" max="4" width="1.3984375" customWidth="1"/>
    <col min="5" max="5" width="26.3984375" customWidth="1"/>
    <col min="6" max="6" width="22" customWidth="1"/>
    <col min="7" max="7" width="1.1328125" customWidth="1"/>
    <col min="8" max="8" width="23.53125" customWidth="1"/>
    <col min="9" max="9" width="22" customWidth="1"/>
    <col min="10" max="10" width="9.53125" bestFit="1" customWidth="1"/>
  </cols>
  <sheetData>
    <row r="2" spans="2:13" ht="25.15" x14ac:dyDescent="0.7">
      <c r="B2" s="11" t="s">
        <v>0</v>
      </c>
      <c r="C2" s="3"/>
      <c r="D2" s="3"/>
      <c r="E2" s="4"/>
      <c r="F2" s="4"/>
      <c r="H2" s="58">
        <f>C5</f>
        <v>1</v>
      </c>
      <c r="I2" s="47">
        <f>C5</f>
        <v>1</v>
      </c>
    </row>
    <row r="3" spans="2:13" ht="22.5" x14ac:dyDescent="0.6">
      <c r="B3" s="3"/>
      <c r="C3" s="3"/>
      <c r="D3" s="3"/>
      <c r="E3" s="5"/>
      <c r="F3" s="6"/>
    </row>
    <row r="4" spans="2:13" ht="22.15" x14ac:dyDescent="0.55000000000000004">
      <c r="B4" s="109" t="s">
        <v>9</v>
      </c>
      <c r="C4" s="109"/>
      <c r="D4" s="7"/>
      <c r="E4" s="109" t="s">
        <v>10</v>
      </c>
      <c r="F4" s="109"/>
      <c r="H4" s="109" t="s">
        <v>111</v>
      </c>
      <c r="I4" s="109"/>
    </row>
    <row r="5" spans="2:13" ht="17.25" customHeight="1" x14ac:dyDescent="0.65">
      <c r="B5" s="12">
        <v>27</v>
      </c>
      <c r="C5" s="8">
        <v>1</v>
      </c>
      <c r="D5" s="8"/>
      <c r="E5" s="12">
        <v>31</v>
      </c>
      <c r="F5" s="8"/>
      <c r="H5" s="112" t="s">
        <v>166</v>
      </c>
      <c r="I5" s="112"/>
    </row>
    <row r="6" spans="2:13" ht="24.75" x14ac:dyDescent="0.65">
      <c r="B6" s="7" t="s">
        <v>3</v>
      </c>
      <c r="C6" s="13">
        <v>196.1</v>
      </c>
      <c r="D6" s="8"/>
      <c r="E6" s="7" t="s">
        <v>3</v>
      </c>
      <c r="F6" s="13">
        <v>157.69999999999999</v>
      </c>
      <c r="H6" s="112"/>
      <c r="I6" s="112"/>
    </row>
    <row r="7" spans="2:13" ht="24.75" x14ac:dyDescent="0.65">
      <c r="B7" s="7" t="s">
        <v>1</v>
      </c>
      <c r="C7" s="14">
        <v>440</v>
      </c>
      <c r="D7" s="8"/>
      <c r="E7" s="7" t="s">
        <v>1</v>
      </c>
      <c r="F7" s="14">
        <v>440</v>
      </c>
      <c r="H7" s="113" t="s">
        <v>167</v>
      </c>
      <c r="I7" s="113"/>
    </row>
    <row r="8" spans="2:13" ht="24.75" x14ac:dyDescent="0.65">
      <c r="B8" s="7" t="s">
        <v>11</v>
      </c>
      <c r="C8" s="14" t="s">
        <v>333</v>
      </c>
      <c r="D8" s="8"/>
      <c r="E8" s="7" t="s">
        <v>11</v>
      </c>
      <c r="F8" s="14" t="s">
        <v>378</v>
      </c>
      <c r="H8" s="112" t="s">
        <v>170</v>
      </c>
      <c r="I8" s="112"/>
    </row>
    <row r="9" spans="2:13" ht="24.75" x14ac:dyDescent="0.65">
      <c r="B9" s="7" t="s">
        <v>5</v>
      </c>
      <c r="C9" s="9">
        <f>IF(OR(C8="",C7=""),"---",C8-C7)</f>
        <v>1.9800000000000182</v>
      </c>
      <c r="D9" s="9"/>
      <c r="E9" s="7" t="s">
        <v>5</v>
      </c>
      <c r="F9" s="9">
        <f>IF(OR(F8="",F7=""),"---",F8-F7)</f>
        <v>0.22000000000002728</v>
      </c>
      <c r="H9" s="113" t="s">
        <v>168</v>
      </c>
      <c r="I9" s="113"/>
    </row>
    <row r="10" spans="2:13" ht="33" x14ac:dyDescent="0.65">
      <c r="B10" s="41" t="s">
        <v>124</v>
      </c>
      <c r="C10" s="39" t="s">
        <v>156</v>
      </c>
      <c r="D10" s="9"/>
      <c r="E10" s="41" t="s">
        <v>124</v>
      </c>
      <c r="F10" s="39" t="s">
        <v>157</v>
      </c>
      <c r="G10" s="40"/>
      <c r="H10" s="113" t="s">
        <v>169</v>
      </c>
      <c r="I10" s="113"/>
    </row>
    <row r="11" spans="2:13" ht="16.5" customHeight="1" x14ac:dyDescent="0.65">
      <c r="B11" s="7"/>
      <c r="C11" s="9"/>
      <c r="D11" s="9"/>
      <c r="E11" s="7"/>
      <c r="F11" s="9"/>
    </row>
    <row r="12" spans="2:13" ht="23.25" customHeight="1" x14ac:dyDescent="0.55000000000000004">
      <c r="B12" s="19"/>
      <c r="C12" s="27"/>
      <c r="D12" s="25"/>
      <c r="E12" s="109" t="s">
        <v>177</v>
      </c>
      <c r="F12" s="109"/>
      <c r="G12" s="26"/>
      <c r="H12" s="109" t="s">
        <v>178</v>
      </c>
      <c r="I12" s="109"/>
      <c r="J12" s="120" t="s">
        <v>290</v>
      </c>
      <c r="K12" s="121"/>
      <c r="L12" s="121"/>
      <c r="M12" s="122"/>
    </row>
    <row r="13" spans="2:13" ht="24.75" x14ac:dyDescent="0.65">
      <c r="B13" s="115" t="s">
        <v>2</v>
      </c>
      <c r="C13" s="115"/>
      <c r="D13" s="53"/>
      <c r="E13" s="110">
        <v>182</v>
      </c>
      <c r="F13" s="110"/>
      <c r="G13" s="53"/>
      <c r="H13" s="110">
        <v>180</v>
      </c>
      <c r="I13" s="110"/>
      <c r="J13" s="119" t="s">
        <v>5</v>
      </c>
      <c r="K13" s="109"/>
    </row>
    <row r="14" spans="2:13" ht="24.75" x14ac:dyDescent="0.65">
      <c r="B14" s="114" t="s">
        <v>6</v>
      </c>
      <c r="C14" s="114"/>
      <c r="D14" s="53"/>
      <c r="E14" s="111">
        <f>IF(ISERROR((C9-F9)/(C6-F6)*(E13-F6)+F9),"---",(C9-F9)/(C6-F6)*(E13-F6)+F9)</f>
        <v>1.3337500000000218</v>
      </c>
      <c r="F14" s="111"/>
      <c r="G14" s="53"/>
      <c r="H14" s="111">
        <f>IF(ISERROR((C9-F9)/(C6-F6)*(H13-F6)+F9),"---",(C9-F9)/(C6-F6)*(H13-F6)+F9)</f>
        <v>1.2420833333333556</v>
      </c>
      <c r="I14" s="111"/>
      <c r="J14" s="117">
        <f>IFERROR((E14+H14)/2,"---")</f>
        <v>1.2879166666666886</v>
      </c>
      <c r="K14" s="118"/>
    </row>
    <row r="15" spans="2:13" ht="24.75" x14ac:dyDescent="0.65">
      <c r="B15" s="114" t="s">
        <v>7</v>
      </c>
      <c r="C15" s="114"/>
      <c r="D15" s="53"/>
      <c r="E15" s="111">
        <f>IF(ISERROR((C7-F7)/(C6-F6)*(E13-F6)+F7),"---",(C7-F7)/(C6-F6)*(E13-F6)+F7)</f>
        <v>440</v>
      </c>
      <c r="F15" s="111"/>
      <c r="G15" s="53"/>
      <c r="H15" s="111">
        <f>IF(ISERROR((C7-F7)/(C6-F6)*(H13-F6)+F7),"---",(C7-F7)/(C6-F6)*(H13-F6)+F7)</f>
        <v>440</v>
      </c>
      <c r="I15" s="111"/>
      <c r="J15" s="123" t="str" cm="1">
        <f t="array" ref="J15">_xlfn.IFS($C$5=1,"NGVD29", $C$5 = 2, "MSL 1912")</f>
        <v>NGVD29</v>
      </c>
      <c r="K15" s="123"/>
      <c r="L15" s="123" t="s">
        <v>278</v>
      </c>
      <c r="M15" s="124"/>
    </row>
    <row r="16" spans="2:13" ht="24.75" x14ac:dyDescent="0.65">
      <c r="B16" s="114" t="s">
        <v>8</v>
      </c>
      <c r="C16" s="114"/>
      <c r="D16" s="53"/>
      <c r="E16" s="111">
        <f>IF(SUM(E14:E15)=0,"---",SUM(E14:E15))</f>
        <v>441.33375000000001</v>
      </c>
      <c r="F16" s="111"/>
      <c r="G16" s="53"/>
      <c r="H16" s="111">
        <f>IF(SUM(H14:H15)=0,"---",SUM(H14:H15))</f>
        <v>441.24208333333337</v>
      </c>
      <c r="I16" s="111"/>
      <c r="J16" s="116">
        <f>IFERROR((E16+H16)/2,"---")</f>
        <v>441.28791666666666</v>
      </c>
      <c r="K16" s="116"/>
      <c r="L16" s="116" cm="1">
        <f t="array" ref="L16">IFERROR(_xlfn.IFS($C$5 = 1, J16 - 0.35, $C$5 = 2, J16 - 0.69),"---")</f>
        <v>440.93791666666664</v>
      </c>
      <c r="M16" s="116"/>
    </row>
    <row r="17" spans="2:9" ht="24.75" x14ac:dyDescent="0.65">
      <c r="B17" s="114" t="s">
        <v>109</v>
      </c>
      <c r="C17" s="114"/>
      <c r="D17" s="53"/>
      <c r="E17" s="111">
        <f>IF(ISERROR((C9-F9)/(C6-F6)),"---",(C9-F9)/(C6-F6))</f>
        <v>4.5833333333333087E-2</v>
      </c>
      <c r="F17" s="111" t="e">
        <f>(C22-F22)/(C19-F19)</f>
        <v>#DIV/0!</v>
      </c>
      <c r="G17" s="53"/>
      <c r="H17" s="111">
        <f>IF(ISERROR((C9-F9)/(C6-F6)),"---",(C9-F9)/(C6-F6))</f>
        <v>4.5833333333333087E-2</v>
      </c>
      <c r="I17" s="111" t="e">
        <f>(F22-I22)/(F19-I19)</f>
        <v>#DIV/0!</v>
      </c>
    </row>
    <row r="24" spans="2:9" x14ac:dyDescent="0.35">
      <c r="B24" s="18" t="s">
        <v>147</v>
      </c>
      <c r="H24" s="63"/>
      <c r="I24" s="63"/>
    </row>
    <row r="25" spans="2:9" x14ac:dyDescent="0.35">
      <c r="B25" s="18" t="s">
        <v>146</v>
      </c>
    </row>
    <row r="32" spans="2:9" x14ac:dyDescent="0.35">
      <c r="E32" s="29"/>
    </row>
  </sheetData>
  <mergeCells count="32">
    <mergeCell ref="J16:K16"/>
    <mergeCell ref="L16:M16"/>
    <mergeCell ref="E12:F12"/>
    <mergeCell ref="E15:F15"/>
    <mergeCell ref="E17:F17"/>
    <mergeCell ref="E16:F16"/>
    <mergeCell ref="H12:I12"/>
    <mergeCell ref="J14:K14"/>
    <mergeCell ref="J13:K13"/>
    <mergeCell ref="J12:M12"/>
    <mergeCell ref="J15:K15"/>
    <mergeCell ref="L15:M15"/>
    <mergeCell ref="B4:C4"/>
    <mergeCell ref="E4:F4"/>
    <mergeCell ref="E13:F13"/>
    <mergeCell ref="E14:F14"/>
    <mergeCell ref="B13:C13"/>
    <mergeCell ref="B17:C17"/>
    <mergeCell ref="B16:C16"/>
    <mergeCell ref="B15:C15"/>
    <mergeCell ref="B14:C14"/>
    <mergeCell ref="H17:I17"/>
    <mergeCell ref="H4:I4"/>
    <mergeCell ref="H13:I13"/>
    <mergeCell ref="H14:I14"/>
    <mergeCell ref="H15:I15"/>
    <mergeCell ref="H16:I16"/>
    <mergeCell ref="H5:I6"/>
    <mergeCell ref="H10:I10"/>
    <mergeCell ref="H9:I9"/>
    <mergeCell ref="H8:I8"/>
    <mergeCell ref="H7:I7"/>
  </mergeCells>
  <phoneticPr fontId="0" type="noConversion"/>
  <conditionalFormatting sqref="C9 F9 E14:F17 H14:I17">
    <cfRule type="cellIs" dxfId="10" priority="4" stopIfTrue="1" operator="equal">
      <formula>"---"</formula>
    </cfRule>
  </conditionalFormatting>
  <conditionalFormatting sqref="J16:K16">
    <cfRule type="cellIs" dxfId="9" priority="3" stopIfTrue="1" operator="equal">
      <formula>"---"</formula>
    </cfRule>
  </conditionalFormatting>
  <conditionalFormatting sqref="L16:M16">
    <cfRule type="cellIs" dxfId="8" priority="2" stopIfTrue="1" operator="equal">
      <formula>"---"</formula>
    </cfRule>
  </conditionalFormatting>
  <conditionalFormatting sqref="J14:K14">
    <cfRule type="cellIs" dxfId="7" priority="1" stopIfTrue="1" operator="equal">
      <formula>"---"</formula>
    </cfRule>
  </conditionalFormatting>
  <pageMargins left="0.5" right="0.5" top="1" bottom="1" header="0.5" footer="0.5"/>
  <pageSetup orientation="landscape" horizontalDpi="4294967292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ClearFields">
                <anchor moveWithCells="1" sizeWithCells="1">
                  <from>
                    <xdr:col>0</xdr:col>
                    <xdr:colOff>609600</xdr:colOff>
                    <xdr:row>17</xdr:row>
                    <xdr:rowOff>142875</xdr:rowOff>
                  </from>
                  <to>
                    <xdr:col>3</xdr:col>
                    <xdr:colOff>190500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 macro="[0]!ChangeUpData">
                <anchor moveWithCells="1">
                  <from>
                    <xdr:col>1</xdr:col>
                    <xdr:colOff>9525</xdr:colOff>
                    <xdr:row>3</xdr:row>
                    <xdr:rowOff>295275</xdr:rowOff>
                  </from>
                  <to>
                    <xdr:col>3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Drop Down 8">
              <controlPr defaultSize="0" autoLine="0" autoPict="0" macro="[0]!ChangeLowData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Option Button 17">
              <controlPr defaultSize="0" autoFill="0" autoLine="0" autoPict="0" macro="[0]!ILLW_Option_Click">
                <anchor moveWithCells="1">
                  <from>
                    <xdr:col>1</xdr:col>
                    <xdr:colOff>0</xdr:colOff>
                    <xdr:row>2</xdr:row>
                    <xdr:rowOff>47625</xdr:rowOff>
                  </from>
                  <to>
                    <xdr:col>1</xdr:col>
                    <xdr:colOff>1133475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Option Button 18">
              <controlPr defaultSize="0" autoFill="0" autoLine="0" autoPict="0" macro="[0]!MISS_Option_Click">
                <anchor moveWithCells="1">
                  <from>
                    <xdr:col>1</xdr:col>
                    <xdr:colOff>1104900</xdr:colOff>
                    <xdr:row>2</xdr:row>
                    <xdr:rowOff>47625</xdr:rowOff>
                  </from>
                  <to>
                    <xdr:col>2</xdr:col>
                    <xdr:colOff>333375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9" name="Button 719">
              <controlPr defaultSize="0" print="0" autoFill="0" autoLine="0" autoPict="0" macro="[0]!getRiverGages_v1">
                <anchor moveWithCells="1" sizeWithCells="1">
                  <from>
                    <xdr:col>6</xdr:col>
                    <xdr:colOff>28575</xdr:colOff>
                    <xdr:row>17</xdr:row>
                    <xdr:rowOff>161925</xdr:rowOff>
                  </from>
                  <to>
                    <xdr:col>9</xdr:col>
                    <xdr:colOff>28575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228BD-971E-4EF8-8475-04A28A27E8A8}">
  <sheetPr codeName="Sheet5"/>
  <dimension ref="A1:E84"/>
  <sheetViews>
    <sheetView topLeftCell="A40" workbookViewId="0">
      <selection activeCell="E6" sqref="E6"/>
    </sheetView>
  </sheetViews>
  <sheetFormatPr defaultRowHeight="12.75" x14ac:dyDescent="0.35"/>
  <cols>
    <col min="1" max="1" width="65.19921875" customWidth="1"/>
    <col min="2" max="2" width="17.6640625" customWidth="1"/>
    <col min="3" max="3" width="18.86328125" customWidth="1"/>
    <col min="4" max="4" width="19.53125" customWidth="1"/>
    <col min="5" max="5" width="47.53125" customWidth="1"/>
  </cols>
  <sheetData>
    <row r="1" spans="1:5" ht="14.25" x14ac:dyDescent="0.45">
      <c r="A1" s="59" t="s">
        <v>201</v>
      </c>
      <c r="B1" s="57"/>
      <c r="C1" s="54"/>
      <c r="E1" s="60" t="s">
        <v>202</v>
      </c>
    </row>
    <row r="2" spans="1:5" ht="14.25" x14ac:dyDescent="0.45">
      <c r="A2" s="46" t="s">
        <v>203</v>
      </c>
      <c r="B2" s="57" t="s">
        <v>204</v>
      </c>
      <c r="C2" s="54" t="s">
        <v>205</v>
      </c>
      <c r="E2" s="60" t="s">
        <v>206</v>
      </c>
    </row>
    <row r="3" spans="1:5" ht="14.25" x14ac:dyDescent="0.45">
      <c r="A3" s="46">
        <v>11</v>
      </c>
      <c r="B3" s="57">
        <v>603</v>
      </c>
      <c r="C3" s="54">
        <v>0.69</v>
      </c>
      <c r="D3" s="61">
        <v>4.82</v>
      </c>
      <c r="E3" s="62">
        <f t="shared" ref="E3:E11" si="0">B3-C3</f>
        <v>602.30999999999995</v>
      </c>
    </row>
    <row r="4" spans="1:5" ht="14.25" x14ac:dyDescent="0.45">
      <c r="A4" s="46">
        <v>12</v>
      </c>
      <c r="B4" s="57">
        <v>592</v>
      </c>
      <c r="C4" s="54">
        <v>0.69</v>
      </c>
      <c r="D4" s="61">
        <v>4.82</v>
      </c>
      <c r="E4" s="62">
        <f t="shared" si="0"/>
        <v>591.30999999999995</v>
      </c>
    </row>
    <row r="5" spans="1:5" ht="14.25" x14ac:dyDescent="0.45">
      <c r="A5" s="46">
        <v>13</v>
      </c>
      <c r="B5" s="57">
        <v>583</v>
      </c>
      <c r="C5" s="54">
        <v>0.69</v>
      </c>
      <c r="D5" s="61">
        <v>4.82</v>
      </c>
      <c r="E5" s="62">
        <f t="shared" si="0"/>
        <v>582.30999999999995</v>
      </c>
    </row>
    <row r="6" spans="1:5" ht="14.25" x14ac:dyDescent="0.45">
      <c r="A6" s="46">
        <v>14</v>
      </c>
      <c r="B6" s="57">
        <v>572</v>
      </c>
      <c r="C6" s="54">
        <v>0.69</v>
      </c>
      <c r="D6" s="61">
        <v>4.82</v>
      </c>
      <c r="E6" s="62">
        <f t="shared" si="0"/>
        <v>571.30999999999995</v>
      </c>
    </row>
    <row r="7" spans="1:5" ht="14.25" x14ac:dyDescent="0.45">
      <c r="A7" s="46">
        <v>15</v>
      </c>
      <c r="B7" s="57">
        <v>561</v>
      </c>
      <c r="C7" s="54">
        <v>0.69</v>
      </c>
      <c r="D7" s="61">
        <v>4.82</v>
      </c>
      <c r="E7" s="62">
        <f t="shared" si="0"/>
        <v>560.30999999999995</v>
      </c>
    </row>
    <row r="8" spans="1:5" ht="14.25" x14ac:dyDescent="0.45">
      <c r="A8" s="46">
        <v>16</v>
      </c>
      <c r="B8" s="57">
        <v>545</v>
      </c>
      <c r="C8" s="54">
        <v>0.69</v>
      </c>
      <c r="D8" s="61">
        <v>4.82</v>
      </c>
      <c r="E8" s="62">
        <f t="shared" si="0"/>
        <v>544.30999999999995</v>
      </c>
    </row>
    <row r="9" spans="1:5" ht="14.25" x14ac:dyDescent="0.45">
      <c r="A9" s="46">
        <v>17</v>
      </c>
      <c r="B9" s="57">
        <v>536</v>
      </c>
      <c r="C9" s="54">
        <v>0.69</v>
      </c>
      <c r="D9" s="61">
        <v>4.82</v>
      </c>
      <c r="E9" s="62">
        <f t="shared" si="0"/>
        <v>535.30999999999995</v>
      </c>
    </row>
    <row r="10" spans="1:5" ht="14.25" x14ac:dyDescent="0.45">
      <c r="A10" s="46">
        <v>18</v>
      </c>
      <c r="B10" s="57">
        <v>528</v>
      </c>
      <c r="C10" s="54">
        <v>0.69</v>
      </c>
      <c r="D10" s="61">
        <v>4.82</v>
      </c>
      <c r="E10" s="62">
        <f t="shared" si="0"/>
        <v>527.30999999999995</v>
      </c>
    </row>
    <row r="11" spans="1:5" ht="14.25" x14ac:dyDescent="0.45">
      <c r="A11" s="46">
        <v>19</v>
      </c>
      <c r="B11" s="57">
        <v>518.20000000000005</v>
      </c>
      <c r="C11" s="54">
        <v>0.69</v>
      </c>
      <c r="D11" s="61">
        <v>4.82</v>
      </c>
      <c r="E11" s="62">
        <f t="shared" si="0"/>
        <v>517.51</v>
      </c>
    </row>
    <row r="12" spans="1:5" ht="14.25" x14ac:dyDescent="0.45">
      <c r="A12" s="46">
        <v>20</v>
      </c>
      <c r="B12" s="57" t="s">
        <v>207</v>
      </c>
      <c r="C12" s="54">
        <v>0.69</v>
      </c>
      <c r="D12" s="61">
        <v>4.82</v>
      </c>
      <c r="E12" s="62"/>
    </row>
    <row r="13" spans="1:5" ht="14.25" x14ac:dyDescent="0.45">
      <c r="A13" s="46">
        <v>21</v>
      </c>
      <c r="B13" s="57">
        <v>470</v>
      </c>
      <c r="C13" s="54">
        <v>0.69</v>
      </c>
      <c r="D13" s="61">
        <v>4.82</v>
      </c>
      <c r="E13" s="62">
        <f>B13-C13</f>
        <v>469.31</v>
      </c>
    </row>
    <row r="14" spans="1:5" ht="14.25" x14ac:dyDescent="0.45">
      <c r="A14" s="46">
        <v>22</v>
      </c>
      <c r="B14" s="57">
        <v>459.5</v>
      </c>
      <c r="C14" s="54">
        <v>0.69</v>
      </c>
      <c r="D14" s="61">
        <v>4.82</v>
      </c>
      <c r="E14" s="62">
        <f>B14-C14</f>
        <v>458.81</v>
      </c>
    </row>
    <row r="15" spans="1:5" ht="14.25" x14ac:dyDescent="0.45">
      <c r="A15" s="46">
        <v>24</v>
      </c>
      <c r="B15" s="57">
        <v>449</v>
      </c>
      <c r="C15" s="54">
        <v>0.69</v>
      </c>
      <c r="D15" s="61">
        <v>4.82</v>
      </c>
      <c r="E15" s="62">
        <f>B15-C15</f>
        <v>448.31</v>
      </c>
    </row>
    <row r="16" spans="1:5" ht="14.25" x14ac:dyDescent="0.45">
      <c r="A16" s="46"/>
      <c r="B16" s="57"/>
      <c r="C16" s="54"/>
      <c r="D16" s="61">
        <v>4.82</v>
      </c>
      <c r="E16" s="62"/>
    </row>
    <row r="17" spans="1:5" ht="14.25" x14ac:dyDescent="0.45">
      <c r="A17" s="46"/>
      <c r="B17" s="57"/>
      <c r="C17" s="54"/>
      <c r="D17" s="61">
        <v>4.82</v>
      </c>
      <c r="E17" s="62"/>
    </row>
    <row r="18" spans="1:5" ht="14.25" x14ac:dyDescent="0.45">
      <c r="A18" s="59" t="s">
        <v>208</v>
      </c>
      <c r="B18" s="57"/>
      <c r="C18" s="54"/>
      <c r="D18" s="61">
        <v>4.82</v>
      </c>
      <c r="E18" s="62"/>
    </row>
    <row r="19" spans="1:5" ht="14.25" x14ac:dyDescent="0.45">
      <c r="A19" s="46" t="s">
        <v>203</v>
      </c>
      <c r="B19" s="57"/>
      <c r="C19" s="54"/>
      <c r="D19" s="61">
        <v>4.82</v>
      </c>
      <c r="E19" s="62"/>
    </row>
    <row r="20" spans="1:5" ht="14.25" x14ac:dyDescent="0.45">
      <c r="A20" s="46" t="s">
        <v>209</v>
      </c>
      <c r="B20" s="57">
        <v>538.5</v>
      </c>
      <c r="C20" s="54">
        <v>0.35</v>
      </c>
      <c r="D20" s="61">
        <v>4.82</v>
      </c>
      <c r="E20" s="62">
        <f>B20-C20</f>
        <v>538.15</v>
      </c>
    </row>
    <row r="21" spans="1:5" ht="14.25" x14ac:dyDescent="0.45">
      <c r="A21" s="46" t="s">
        <v>210</v>
      </c>
      <c r="B21" s="57">
        <v>504.5</v>
      </c>
      <c r="C21" s="54">
        <v>0.35</v>
      </c>
      <c r="D21" s="61">
        <v>4.82</v>
      </c>
      <c r="E21" s="62">
        <f>B21-C21</f>
        <v>504.15</v>
      </c>
    </row>
    <row r="22" spans="1:5" ht="14.25" x14ac:dyDescent="0.45">
      <c r="A22" s="46" t="s">
        <v>211</v>
      </c>
      <c r="B22" s="57">
        <v>482.8</v>
      </c>
      <c r="C22" s="54">
        <v>0.35</v>
      </c>
      <c r="D22" s="61">
        <v>4.82</v>
      </c>
      <c r="E22" s="62">
        <f>B22-C22</f>
        <v>482.45</v>
      </c>
    </row>
    <row r="23" spans="1:5" ht="14.25" x14ac:dyDescent="0.45">
      <c r="A23" s="46" t="s">
        <v>212</v>
      </c>
      <c r="B23" s="57">
        <v>458.5</v>
      </c>
      <c r="C23" s="54">
        <v>0.35</v>
      </c>
      <c r="D23" s="61">
        <v>4.82</v>
      </c>
      <c r="E23" s="62">
        <f>B23-C23</f>
        <v>458.15</v>
      </c>
    </row>
    <row r="24" spans="1:5" ht="14.25" x14ac:dyDescent="0.45">
      <c r="A24" s="46" t="s">
        <v>213</v>
      </c>
      <c r="B24" s="57" t="s">
        <v>207</v>
      </c>
      <c r="C24" s="54"/>
      <c r="D24" s="61">
        <v>4.82</v>
      </c>
      <c r="E24" s="62"/>
    </row>
    <row r="25" spans="1:5" ht="14.25" x14ac:dyDescent="0.45">
      <c r="A25" s="46" t="s">
        <v>214</v>
      </c>
      <c r="B25" s="57" t="s">
        <v>207</v>
      </c>
      <c r="C25" s="54"/>
      <c r="D25" s="61">
        <v>4.82</v>
      </c>
      <c r="E25" s="62"/>
    </row>
    <row r="26" spans="1:5" ht="14.25" x14ac:dyDescent="0.45">
      <c r="A26" s="46"/>
      <c r="B26" s="57"/>
      <c r="C26" s="54"/>
      <c r="D26" s="61">
        <v>4.82</v>
      </c>
      <c r="E26" s="62"/>
    </row>
    <row r="27" spans="1:5" ht="14.25" x14ac:dyDescent="0.45">
      <c r="A27" s="46" t="s">
        <v>213</v>
      </c>
      <c r="B27" s="57"/>
      <c r="C27" s="54"/>
      <c r="D27" s="61">
        <v>4.82</v>
      </c>
      <c r="E27" s="62"/>
    </row>
    <row r="28" spans="1:5" ht="14.25" x14ac:dyDescent="0.45">
      <c r="A28" s="15" t="s">
        <v>85</v>
      </c>
      <c r="B28" s="16">
        <v>440.3</v>
      </c>
      <c r="C28" s="54">
        <v>0.35</v>
      </c>
      <c r="D28" s="61">
        <v>4.82</v>
      </c>
      <c r="E28" s="62">
        <f t="shared" ref="E28:E37" si="1">B28-C28</f>
        <v>439.95</v>
      </c>
    </row>
    <row r="29" spans="1:5" ht="14.25" x14ac:dyDescent="0.45">
      <c r="A29" s="15" t="s">
        <v>86</v>
      </c>
      <c r="B29" s="16">
        <v>440.2</v>
      </c>
      <c r="C29" s="54">
        <v>0.35</v>
      </c>
      <c r="D29" s="61">
        <v>4.82</v>
      </c>
      <c r="E29" s="62">
        <f t="shared" si="1"/>
        <v>439.84999999999997</v>
      </c>
    </row>
    <row r="30" spans="1:5" ht="14.25" x14ac:dyDescent="0.45">
      <c r="A30" s="15" t="s">
        <v>87</v>
      </c>
      <c r="B30" s="16">
        <v>440.1</v>
      </c>
      <c r="C30" s="54">
        <v>0.35</v>
      </c>
      <c r="D30" s="61">
        <v>4.82</v>
      </c>
      <c r="E30" s="62">
        <f t="shared" si="1"/>
        <v>439.75</v>
      </c>
    </row>
    <row r="31" spans="1:5" ht="14.25" x14ac:dyDescent="0.45">
      <c r="A31" s="15" t="s">
        <v>88</v>
      </c>
      <c r="B31" s="16">
        <v>440.1</v>
      </c>
      <c r="C31" s="54">
        <v>0.35</v>
      </c>
      <c r="D31" s="61">
        <v>4.82</v>
      </c>
      <c r="E31" s="62">
        <f t="shared" si="1"/>
        <v>439.75</v>
      </c>
    </row>
    <row r="32" spans="1:5" ht="14.25" x14ac:dyDescent="0.45">
      <c r="A32" s="15" t="s">
        <v>89</v>
      </c>
      <c r="B32" s="16">
        <v>440.1</v>
      </c>
      <c r="C32" s="54">
        <v>0.35</v>
      </c>
      <c r="D32" s="61">
        <v>4.82</v>
      </c>
      <c r="E32" s="62">
        <f t="shared" si="1"/>
        <v>439.75</v>
      </c>
    </row>
    <row r="33" spans="1:5" ht="14.25" x14ac:dyDescent="0.45">
      <c r="A33" s="15" t="s">
        <v>90</v>
      </c>
      <c r="B33" s="16">
        <v>440</v>
      </c>
      <c r="C33" s="54">
        <v>0.35</v>
      </c>
      <c r="D33" s="61">
        <v>4.82</v>
      </c>
      <c r="E33" s="62">
        <f t="shared" si="1"/>
        <v>439.65</v>
      </c>
    </row>
    <row r="34" spans="1:5" ht="14.25" x14ac:dyDescent="0.45">
      <c r="A34" s="15" t="s">
        <v>215</v>
      </c>
      <c r="B34" s="16">
        <v>440</v>
      </c>
      <c r="C34" s="54">
        <v>0.35</v>
      </c>
      <c r="D34" s="61">
        <v>4.82</v>
      </c>
      <c r="E34" s="62">
        <f t="shared" si="1"/>
        <v>439.65</v>
      </c>
    </row>
    <row r="35" spans="1:5" ht="14.25" x14ac:dyDescent="0.45">
      <c r="A35" s="15" t="s">
        <v>91</v>
      </c>
      <c r="B35" s="16">
        <v>440</v>
      </c>
      <c r="C35" s="54">
        <v>0.35</v>
      </c>
      <c r="D35" s="61">
        <v>4.82</v>
      </c>
      <c r="E35" s="62">
        <f t="shared" si="1"/>
        <v>439.65</v>
      </c>
    </row>
    <row r="36" spans="1:5" ht="14.25" x14ac:dyDescent="0.45">
      <c r="A36" s="15" t="s">
        <v>92</v>
      </c>
      <c r="B36" s="16">
        <v>440</v>
      </c>
      <c r="C36" s="54">
        <v>0.35</v>
      </c>
      <c r="D36" s="61">
        <v>4.82</v>
      </c>
      <c r="E36" s="62">
        <f t="shared" si="1"/>
        <v>439.65</v>
      </c>
    </row>
    <row r="37" spans="1:5" ht="14.25" x14ac:dyDescent="0.45">
      <c r="A37" s="15" t="s">
        <v>93</v>
      </c>
      <c r="B37" s="16">
        <v>440</v>
      </c>
      <c r="C37" s="54">
        <v>0.35</v>
      </c>
      <c r="D37" s="61">
        <v>4.82</v>
      </c>
      <c r="E37" s="62">
        <f t="shared" si="1"/>
        <v>439.65</v>
      </c>
    </row>
    <row r="38" spans="1:5" ht="14.25" x14ac:dyDescent="0.45">
      <c r="A38" s="46"/>
      <c r="B38" s="57"/>
      <c r="C38" s="54"/>
      <c r="D38" s="61">
        <v>4.82</v>
      </c>
      <c r="E38" s="62"/>
    </row>
    <row r="39" spans="1:5" ht="14.25" x14ac:dyDescent="0.45">
      <c r="A39" s="46" t="s">
        <v>214</v>
      </c>
      <c r="B39" s="57"/>
      <c r="C39" s="54"/>
      <c r="D39" s="61">
        <v>4.82</v>
      </c>
      <c r="E39" s="62"/>
    </row>
    <row r="40" spans="1:5" ht="14.25" x14ac:dyDescent="0.45">
      <c r="A40" s="15" t="s">
        <v>94</v>
      </c>
      <c r="B40" s="16">
        <v>430</v>
      </c>
      <c r="C40" s="54">
        <v>0.35</v>
      </c>
      <c r="D40" s="61">
        <v>4.82</v>
      </c>
      <c r="E40" s="62">
        <f t="shared" ref="E40:E59" si="2">B40-C40</f>
        <v>429.65</v>
      </c>
    </row>
    <row r="41" spans="1:5" ht="14.25" x14ac:dyDescent="0.45">
      <c r="A41" s="15" t="s">
        <v>95</v>
      </c>
      <c r="B41" s="16">
        <v>429.9</v>
      </c>
      <c r="C41" s="54">
        <v>0.35</v>
      </c>
      <c r="D41" s="61">
        <v>4.82</v>
      </c>
      <c r="E41" s="62">
        <f t="shared" si="2"/>
        <v>429.54999999999995</v>
      </c>
    </row>
    <row r="42" spans="1:5" ht="14.25" x14ac:dyDescent="0.45">
      <c r="A42" s="15" t="s">
        <v>96</v>
      </c>
      <c r="B42" s="16">
        <v>429.7</v>
      </c>
      <c r="C42" s="54">
        <v>0.35</v>
      </c>
      <c r="D42" s="61">
        <v>4.82</v>
      </c>
      <c r="E42" s="62">
        <f t="shared" si="2"/>
        <v>429.34999999999997</v>
      </c>
    </row>
    <row r="43" spans="1:5" ht="14.25" x14ac:dyDescent="0.45">
      <c r="A43" s="15" t="s">
        <v>97</v>
      </c>
      <c r="B43" s="16">
        <v>429.7</v>
      </c>
      <c r="C43" s="54">
        <v>0.35</v>
      </c>
      <c r="D43" s="61">
        <v>4.82</v>
      </c>
      <c r="E43" s="62">
        <f t="shared" si="2"/>
        <v>429.34999999999997</v>
      </c>
    </row>
    <row r="44" spans="1:5" ht="14.25" x14ac:dyDescent="0.45">
      <c r="A44" s="15" t="s">
        <v>98</v>
      </c>
      <c r="B44" s="16">
        <v>429.5</v>
      </c>
      <c r="C44" s="54">
        <v>0.35</v>
      </c>
      <c r="D44" s="61">
        <v>4.82</v>
      </c>
      <c r="E44" s="62">
        <f t="shared" si="2"/>
        <v>429.15</v>
      </c>
    </row>
    <row r="45" spans="1:5" ht="14.25" x14ac:dyDescent="0.45">
      <c r="A45" s="15" t="s">
        <v>99</v>
      </c>
      <c r="B45" s="16">
        <v>429.5</v>
      </c>
      <c r="C45" s="54">
        <v>0.35</v>
      </c>
      <c r="D45" s="61">
        <v>4.82</v>
      </c>
      <c r="E45" s="62">
        <f t="shared" si="2"/>
        <v>429.15</v>
      </c>
    </row>
    <row r="46" spans="1:5" ht="14.25" x14ac:dyDescent="0.45">
      <c r="A46" s="15" t="s">
        <v>100</v>
      </c>
      <c r="B46" s="16">
        <v>429.4</v>
      </c>
      <c r="C46" s="54">
        <v>0.35</v>
      </c>
      <c r="D46" s="61">
        <v>4.82</v>
      </c>
      <c r="E46" s="62">
        <f t="shared" si="2"/>
        <v>429.04999999999995</v>
      </c>
    </row>
    <row r="47" spans="1:5" ht="14.25" x14ac:dyDescent="0.45">
      <c r="A47" s="15" t="s">
        <v>101</v>
      </c>
      <c r="B47" s="16">
        <v>429.2</v>
      </c>
      <c r="C47" s="54">
        <v>0.35</v>
      </c>
      <c r="D47" s="61">
        <v>4.82</v>
      </c>
      <c r="E47" s="62">
        <f t="shared" si="2"/>
        <v>428.84999999999997</v>
      </c>
    </row>
    <row r="48" spans="1:5" ht="14.25" x14ac:dyDescent="0.45">
      <c r="A48" s="15" t="s">
        <v>102</v>
      </c>
      <c r="B48" s="16">
        <v>429.2</v>
      </c>
      <c r="C48" s="54">
        <v>0.35</v>
      </c>
      <c r="D48" s="61">
        <v>4.82</v>
      </c>
      <c r="E48" s="62">
        <f t="shared" si="2"/>
        <v>428.84999999999997</v>
      </c>
    </row>
    <row r="49" spans="1:5" ht="14.25" x14ac:dyDescent="0.45">
      <c r="A49" s="15" t="s">
        <v>103</v>
      </c>
      <c r="B49" s="16">
        <v>429.2</v>
      </c>
      <c r="C49" s="54">
        <v>0.35</v>
      </c>
      <c r="D49" s="61">
        <v>4.82</v>
      </c>
      <c r="E49" s="62">
        <f t="shared" si="2"/>
        <v>428.84999999999997</v>
      </c>
    </row>
    <row r="50" spans="1:5" ht="14.25" x14ac:dyDescent="0.45">
      <c r="A50" s="15" t="s">
        <v>104</v>
      </c>
      <c r="B50" s="16">
        <v>429.1</v>
      </c>
      <c r="C50" s="54">
        <v>0.35</v>
      </c>
      <c r="D50" s="61">
        <v>4.82</v>
      </c>
      <c r="E50" s="62">
        <f t="shared" si="2"/>
        <v>428.75</v>
      </c>
    </row>
    <row r="51" spans="1:5" ht="14.25" x14ac:dyDescent="0.45">
      <c r="A51" s="15" t="s">
        <v>105</v>
      </c>
      <c r="B51" s="16">
        <v>429</v>
      </c>
      <c r="C51" s="54">
        <v>0.35</v>
      </c>
      <c r="D51" s="61">
        <v>4.82</v>
      </c>
      <c r="E51" s="62">
        <f t="shared" si="2"/>
        <v>428.65</v>
      </c>
    </row>
    <row r="52" spans="1:5" ht="14.25" x14ac:dyDescent="0.45">
      <c r="A52" s="15" t="s">
        <v>106</v>
      </c>
      <c r="B52" s="16">
        <v>429</v>
      </c>
      <c r="C52" s="54">
        <v>0.35</v>
      </c>
      <c r="D52" s="61">
        <v>4.82</v>
      </c>
      <c r="E52" s="62">
        <f t="shared" si="2"/>
        <v>428.65</v>
      </c>
    </row>
    <row r="53" spans="1:5" ht="14.25" x14ac:dyDescent="0.45">
      <c r="A53" s="15" t="s">
        <v>107</v>
      </c>
      <c r="B53" s="16">
        <v>429</v>
      </c>
      <c r="C53" s="54">
        <v>0.35</v>
      </c>
      <c r="D53" s="61">
        <v>4.82</v>
      </c>
      <c r="E53" s="62">
        <f t="shared" si="2"/>
        <v>428.65</v>
      </c>
    </row>
    <row r="54" spans="1:5" ht="14.25" x14ac:dyDescent="0.45">
      <c r="A54" s="24"/>
      <c r="B54" s="63"/>
      <c r="C54" s="54"/>
      <c r="D54" s="61"/>
      <c r="E54" s="62"/>
    </row>
    <row r="55" spans="1:5" ht="14.25" x14ac:dyDescent="0.45">
      <c r="A55" s="64" t="s">
        <v>216</v>
      </c>
      <c r="B55" s="57"/>
      <c r="C55" s="54"/>
      <c r="D55" s="61"/>
      <c r="E55" s="62"/>
    </row>
    <row r="56" spans="1:5" ht="14.25" x14ac:dyDescent="0.45">
      <c r="A56" s="46" t="s">
        <v>217</v>
      </c>
      <c r="B56" s="54">
        <v>480</v>
      </c>
      <c r="C56" s="54">
        <v>0.69</v>
      </c>
      <c r="D56" s="61">
        <v>4.82</v>
      </c>
      <c r="E56" s="62">
        <f t="shared" si="2"/>
        <v>479.31</v>
      </c>
    </row>
    <row r="57" spans="1:5" ht="14.25" x14ac:dyDescent="0.45">
      <c r="A57" s="46" t="s">
        <v>218</v>
      </c>
      <c r="B57" s="57">
        <v>479.6</v>
      </c>
      <c r="C57" s="54">
        <v>0.69</v>
      </c>
      <c r="D57" s="61">
        <v>4.82</v>
      </c>
      <c r="E57" s="62">
        <f t="shared" si="2"/>
        <v>478.91</v>
      </c>
    </row>
    <row r="58" spans="1:5" ht="14.25" x14ac:dyDescent="0.45">
      <c r="A58" s="46" t="s">
        <v>219</v>
      </c>
      <c r="B58" s="57">
        <v>479</v>
      </c>
      <c r="C58" s="54">
        <v>0.69</v>
      </c>
      <c r="D58" s="61">
        <v>4.82</v>
      </c>
      <c r="E58" s="62">
        <f t="shared" si="2"/>
        <v>478.31</v>
      </c>
    </row>
    <row r="59" spans="1:5" ht="14.25" x14ac:dyDescent="0.45">
      <c r="A59" s="46" t="s">
        <v>220</v>
      </c>
      <c r="B59" s="57">
        <v>475.5</v>
      </c>
      <c r="C59" s="54">
        <v>0.69</v>
      </c>
      <c r="D59" s="61">
        <v>4.82</v>
      </c>
      <c r="E59" s="62">
        <f t="shared" si="2"/>
        <v>474.81</v>
      </c>
    </row>
    <row r="63" spans="1:5" x14ac:dyDescent="0.35">
      <c r="A63" s="29" t="s">
        <v>251</v>
      </c>
    </row>
    <row r="64" spans="1:5" x14ac:dyDescent="0.35">
      <c r="A64" s="29" t="s">
        <v>252</v>
      </c>
    </row>
    <row r="65" spans="1:1" x14ac:dyDescent="0.35">
      <c r="A65" s="29" t="s">
        <v>253</v>
      </c>
    </row>
    <row r="66" spans="1:1" x14ac:dyDescent="0.35">
      <c r="A66" s="29" t="s">
        <v>254</v>
      </c>
    </row>
    <row r="67" spans="1:1" x14ac:dyDescent="0.35">
      <c r="A67" s="29" t="s">
        <v>255</v>
      </c>
    </row>
    <row r="68" spans="1:1" x14ac:dyDescent="0.35">
      <c r="A68" s="29" t="s">
        <v>256</v>
      </c>
    </row>
    <row r="69" spans="1:1" x14ac:dyDescent="0.35">
      <c r="A69" s="29" t="s">
        <v>257</v>
      </c>
    </row>
    <row r="70" spans="1:1" x14ac:dyDescent="0.35">
      <c r="A70" s="29" t="s">
        <v>258</v>
      </c>
    </row>
    <row r="71" spans="1:1" x14ac:dyDescent="0.35">
      <c r="A71" s="29" t="s">
        <v>259</v>
      </c>
    </row>
    <row r="73" spans="1:1" x14ac:dyDescent="0.35">
      <c r="A73" s="29" t="s">
        <v>260</v>
      </c>
    </row>
    <row r="74" spans="1:1" x14ac:dyDescent="0.35">
      <c r="A74" s="29" t="s">
        <v>261</v>
      </c>
    </row>
    <row r="75" spans="1:1" x14ac:dyDescent="0.35">
      <c r="A75" s="29" t="s">
        <v>262</v>
      </c>
    </row>
    <row r="76" spans="1:1" x14ac:dyDescent="0.35">
      <c r="A76" s="29" t="s">
        <v>263</v>
      </c>
    </row>
    <row r="77" spans="1:1" x14ac:dyDescent="0.35">
      <c r="A77" s="29" t="s">
        <v>264</v>
      </c>
    </row>
    <row r="78" spans="1:1" x14ac:dyDescent="0.35">
      <c r="A78" s="29" t="s">
        <v>265</v>
      </c>
    </row>
    <row r="79" spans="1:1" x14ac:dyDescent="0.35">
      <c r="A79" s="29" t="s">
        <v>266</v>
      </c>
    </row>
    <row r="80" spans="1:1" x14ac:dyDescent="0.35">
      <c r="A80" s="29" t="s">
        <v>267</v>
      </c>
    </row>
    <row r="81" spans="1:1" x14ac:dyDescent="0.35">
      <c r="A81" s="29" t="s">
        <v>268</v>
      </c>
    </row>
    <row r="82" spans="1:1" x14ac:dyDescent="0.35">
      <c r="A82" s="29" t="s">
        <v>269</v>
      </c>
    </row>
    <row r="83" spans="1:1" x14ac:dyDescent="0.35">
      <c r="A83" s="29" t="s">
        <v>270</v>
      </c>
    </row>
    <row r="84" spans="1:1" x14ac:dyDescent="0.35">
      <c r="A84" s="29" t="s">
        <v>271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6"/>
  <sheetViews>
    <sheetView workbookViewId="0">
      <pane ySplit="1" topLeftCell="A19" activePane="bottomLeft" state="frozen"/>
      <selection activeCell="D1" sqref="D1"/>
      <selection pane="bottomLeft" activeCell="B35" sqref="B35"/>
    </sheetView>
  </sheetViews>
  <sheetFormatPr defaultColWidth="9.19921875" defaultRowHeight="12.75" x14ac:dyDescent="0.35"/>
  <cols>
    <col min="1" max="1" width="69.3984375" style="10" bestFit="1" customWidth="1"/>
    <col min="2" max="2" width="9.53125" style="34" customWidth="1"/>
    <col min="3" max="3" width="9.3984375" style="34" bestFit="1" customWidth="1"/>
    <col min="4" max="4" width="75.73046875" style="33" bestFit="1" customWidth="1"/>
    <col min="5" max="5" width="64.53125" style="10" bestFit="1" customWidth="1"/>
    <col min="6" max="6" width="10.1328125" style="10" bestFit="1" customWidth="1"/>
    <col min="7" max="7" width="9.19921875" style="10" bestFit="1"/>
    <col min="8" max="8" width="76.3984375" style="10" bestFit="1" customWidth="1"/>
    <col min="9" max="9" width="4.53125" style="10" customWidth="1"/>
    <col min="10" max="16384" width="9.19921875" style="10"/>
  </cols>
  <sheetData>
    <row r="1" spans="1:9" ht="13.15" x14ac:dyDescent="0.4">
      <c r="A1" s="1" t="s">
        <v>164</v>
      </c>
      <c r="B1" s="2" t="s">
        <v>3</v>
      </c>
      <c r="C1" s="2" t="s">
        <v>1</v>
      </c>
      <c r="D1" s="32" t="s">
        <v>112</v>
      </c>
      <c r="E1" s="1" t="s">
        <v>165</v>
      </c>
      <c r="F1" s="2" t="s">
        <v>3</v>
      </c>
      <c r="G1" s="2" t="s">
        <v>1</v>
      </c>
      <c r="H1" s="30" t="s">
        <v>112</v>
      </c>
      <c r="I1" s="30"/>
    </row>
    <row r="2" spans="1:9" ht="13.15" x14ac:dyDescent="0.4">
      <c r="A2" s="15" t="s">
        <v>65</v>
      </c>
      <c r="B2" s="16">
        <v>326.5</v>
      </c>
      <c r="C2" s="17" t="s">
        <v>4</v>
      </c>
      <c r="D2" s="33" t="s">
        <v>148</v>
      </c>
      <c r="E2" s="31" t="s">
        <v>12</v>
      </c>
      <c r="F2" s="16">
        <v>615.1</v>
      </c>
      <c r="G2" s="16">
        <v>603</v>
      </c>
      <c r="H2" s="29" t="s">
        <v>145</v>
      </c>
    </row>
    <row r="3" spans="1:9" ht="13.15" x14ac:dyDescent="0.4">
      <c r="A3" s="15" t="s">
        <v>66</v>
      </c>
      <c r="B3" s="16">
        <v>326.39999999999998</v>
      </c>
      <c r="C3" s="16">
        <v>577.5</v>
      </c>
      <c r="D3" s="38" t="s">
        <v>308</v>
      </c>
      <c r="E3" s="31" t="s">
        <v>13</v>
      </c>
      <c r="F3" s="16">
        <v>606.70000000000005</v>
      </c>
      <c r="G3" s="16">
        <v>603</v>
      </c>
      <c r="H3" s="29" t="s">
        <v>131</v>
      </c>
    </row>
    <row r="4" spans="1:9" ht="13.15" x14ac:dyDescent="0.4">
      <c r="A4" s="15" t="s">
        <v>67</v>
      </c>
      <c r="B4" s="16">
        <v>291.10000000000002</v>
      </c>
      <c r="C4" s="16">
        <v>577.5</v>
      </c>
      <c r="D4" s="33" t="s">
        <v>149</v>
      </c>
      <c r="E4" s="31" t="s">
        <v>14</v>
      </c>
      <c r="F4" s="16">
        <v>599.9</v>
      </c>
      <c r="G4" s="16">
        <v>603</v>
      </c>
      <c r="H4" s="10" t="s">
        <v>143</v>
      </c>
      <c r="I4" s="28">
        <v>9.6999999999999993</v>
      </c>
    </row>
    <row r="5" spans="1:9" ht="13.15" x14ac:dyDescent="0.4">
      <c r="A5" s="15" t="s">
        <v>68</v>
      </c>
      <c r="B5" s="16">
        <v>290.89999999999998</v>
      </c>
      <c r="C5" s="16">
        <v>538.5</v>
      </c>
      <c r="D5" s="33" t="s">
        <v>306</v>
      </c>
      <c r="E5" s="31" t="s">
        <v>199</v>
      </c>
      <c r="F5" s="16">
        <v>592.29999999999995</v>
      </c>
      <c r="G5" s="16">
        <v>603</v>
      </c>
      <c r="H5" s="29" t="s">
        <v>145</v>
      </c>
      <c r="I5" s="28">
        <v>12.4</v>
      </c>
    </row>
    <row r="6" spans="1:9" ht="13.15" x14ac:dyDescent="0.4">
      <c r="A6" s="15" t="s">
        <v>69</v>
      </c>
      <c r="B6" s="16">
        <v>286</v>
      </c>
      <c r="C6" s="16">
        <v>538.5</v>
      </c>
      <c r="D6" s="33" t="s">
        <v>150</v>
      </c>
      <c r="E6" s="31" t="s">
        <v>15</v>
      </c>
      <c r="F6" s="16">
        <v>583</v>
      </c>
      <c r="G6" s="16">
        <v>603</v>
      </c>
      <c r="H6" s="10" t="s">
        <v>144</v>
      </c>
    </row>
    <row r="7" spans="1:9" ht="13.15" x14ac:dyDescent="0.4">
      <c r="A7" s="15" t="s">
        <v>70</v>
      </c>
      <c r="B7" s="16">
        <v>285.89999999999998</v>
      </c>
      <c r="C7" s="16">
        <v>504.5</v>
      </c>
      <c r="D7" s="33" t="s">
        <v>307</v>
      </c>
      <c r="E7" s="31" t="s">
        <v>16</v>
      </c>
      <c r="F7" s="16">
        <v>583</v>
      </c>
      <c r="G7" s="16">
        <v>592</v>
      </c>
      <c r="H7" s="97" t="s">
        <v>294</v>
      </c>
    </row>
    <row r="8" spans="1:9" ht="13.15" x14ac:dyDescent="0.4">
      <c r="A8" s="15" t="s">
        <v>71</v>
      </c>
      <c r="B8" s="16">
        <v>281.2</v>
      </c>
      <c r="C8" s="16">
        <v>504.5</v>
      </c>
      <c r="D8" s="37" t="s">
        <v>145</v>
      </c>
      <c r="E8" s="31" t="s">
        <v>17</v>
      </c>
      <c r="F8" s="16">
        <v>579.9</v>
      </c>
      <c r="G8" s="16">
        <v>592</v>
      </c>
      <c r="H8" s="10" t="s">
        <v>113</v>
      </c>
    </row>
    <row r="9" spans="1:9" ht="13.15" x14ac:dyDescent="0.4">
      <c r="A9" s="15" t="s">
        <v>72</v>
      </c>
      <c r="B9" s="16">
        <v>277.89999999999998</v>
      </c>
      <c r="C9" s="16">
        <v>504.5</v>
      </c>
      <c r="D9" s="37" t="s">
        <v>145</v>
      </c>
      <c r="E9" s="31" t="s">
        <v>18</v>
      </c>
      <c r="F9" s="16">
        <v>567.1</v>
      </c>
      <c r="G9" s="16">
        <v>592</v>
      </c>
      <c r="H9" s="10" t="s">
        <v>114</v>
      </c>
    </row>
    <row r="10" spans="1:9" ht="13.15" x14ac:dyDescent="0.4">
      <c r="A10" s="15" t="s">
        <v>73</v>
      </c>
      <c r="B10" s="16">
        <v>271.5</v>
      </c>
      <c r="C10" s="16">
        <v>504.5</v>
      </c>
      <c r="D10" s="33" t="s">
        <v>151</v>
      </c>
      <c r="E10" s="31" t="s">
        <v>19</v>
      </c>
      <c r="F10" s="16">
        <v>566.20000000000005</v>
      </c>
      <c r="G10" s="16">
        <v>592</v>
      </c>
      <c r="H10" s="29" t="s">
        <v>145</v>
      </c>
    </row>
    <row r="11" spans="1:9" ht="13.15" x14ac:dyDescent="0.4">
      <c r="A11" s="15" t="s">
        <v>74</v>
      </c>
      <c r="B11" s="16">
        <v>271.39999999999998</v>
      </c>
      <c r="C11" s="16">
        <v>482.8</v>
      </c>
      <c r="D11" s="33" t="s">
        <v>310</v>
      </c>
      <c r="E11" s="31" t="s">
        <v>20</v>
      </c>
      <c r="F11" s="16">
        <v>556.70000000000005</v>
      </c>
      <c r="G11" s="16">
        <v>592</v>
      </c>
      <c r="H11" s="10" t="s">
        <v>115</v>
      </c>
    </row>
    <row r="12" spans="1:9" ht="13.15" x14ac:dyDescent="0.4">
      <c r="A12" s="15" t="s">
        <v>75</v>
      </c>
      <c r="B12" s="16">
        <v>263.39999999999998</v>
      </c>
      <c r="C12" s="16">
        <v>482.8</v>
      </c>
      <c r="D12" s="33" t="s">
        <v>152</v>
      </c>
      <c r="E12" s="31" t="s">
        <v>21</v>
      </c>
      <c r="F12" s="16">
        <v>556.70000000000005</v>
      </c>
      <c r="G12" s="16">
        <v>583</v>
      </c>
      <c r="H12" s="97" t="s">
        <v>295</v>
      </c>
    </row>
    <row r="13" spans="1:9" ht="13.15" x14ac:dyDescent="0.4">
      <c r="A13" s="15" t="s">
        <v>76</v>
      </c>
      <c r="B13" s="16">
        <v>258.8</v>
      </c>
      <c r="C13" s="16">
        <v>482.8</v>
      </c>
      <c r="D13" s="37" t="s">
        <v>145</v>
      </c>
      <c r="E13" s="31" t="s">
        <v>22</v>
      </c>
      <c r="F13" s="16">
        <v>553</v>
      </c>
      <c r="G13" s="16">
        <v>583</v>
      </c>
      <c r="H13" s="29" t="s">
        <v>145</v>
      </c>
    </row>
    <row r="14" spans="1:9" ht="13.15" x14ac:dyDescent="0.4">
      <c r="A14" s="15" t="s">
        <v>77</v>
      </c>
      <c r="B14" s="16">
        <v>252.8</v>
      </c>
      <c r="C14" s="16">
        <v>482.8</v>
      </c>
      <c r="D14" s="37" t="s">
        <v>145</v>
      </c>
      <c r="E14" s="31" t="s">
        <v>23</v>
      </c>
      <c r="F14" s="16">
        <v>547.29999999999995</v>
      </c>
      <c r="G14" s="16">
        <v>583</v>
      </c>
      <c r="H14" s="29" t="s">
        <v>145</v>
      </c>
    </row>
    <row r="15" spans="1:9" ht="13.15" x14ac:dyDescent="0.4">
      <c r="A15" s="15" t="s">
        <v>78</v>
      </c>
      <c r="B15" s="16">
        <v>249.9</v>
      </c>
      <c r="C15" s="16">
        <v>482.8</v>
      </c>
      <c r="D15" s="37" t="s">
        <v>145</v>
      </c>
      <c r="E15" s="31" t="s">
        <v>24</v>
      </c>
      <c r="F15" s="16">
        <v>541</v>
      </c>
      <c r="G15" s="16">
        <v>583</v>
      </c>
      <c r="H15" s="29" t="s">
        <v>145</v>
      </c>
    </row>
    <row r="16" spans="1:9" ht="13.15" x14ac:dyDescent="0.4">
      <c r="A16" s="15" t="s">
        <v>79</v>
      </c>
      <c r="B16" s="16">
        <v>247</v>
      </c>
      <c r="C16" s="16">
        <v>482.8</v>
      </c>
      <c r="D16" s="37" t="s">
        <v>145</v>
      </c>
      <c r="E16" s="31" t="s">
        <v>25</v>
      </c>
      <c r="F16" s="16">
        <v>535</v>
      </c>
      <c r="G16" s="16">
        <v>583</v>
      </c>
      <c r="H16" s="10" t="s">
        <v>116</v>
      </c>
    </row>
    <row r="17" spans="1:8" ht="13.15" x14ac:dyDescent="0.4">
      <c r="A17" s="15" t="s">
        <v>80</v>
      </c>
      <c r="B17" s="16">
        <v>244.5</v>
      </c>
      <c r="C17" s="16">
        <v>482.8</v>
      </c>
      <c r="D17" s="38" t="s">
        <v>163</v>
      </c>
      <c r="E17" s="31" t="s">
        <v>26</v>
      </c>
      <c r="F17" s="16">
        <v>522.5</v>
      </c>
      <c r="G17" s="16">
        <v>583</v>
      </c>
      <c r="H17" s="10" t="s">
        <v>117</v>
      </c>
    </row>
    <row r="18" spans="1:8" ht="13.15" x14ac:dyDescent="0.4">
      <c r="A18" s="15" t="s">
        <v>81</v>
      </c>
      <c r="B18" s="16">
        <v>244.4</v>
      </c>
      <c r="C18" s="16">
        <v>458.5</v>
      </c>
      <c r="D18" s="33" t="s">
        <v>309</v>
      </c>
      <c r="E18" s="31" t="s">
        <v>27</v>
      </c>
      <c r="F18" s="16">
        <v>522.5</v>
      </c>
      <c r="G18" s="16">
        <v>572</v>
      </c>
      <c r="H18" s="97" t="s">
        <v>296</v>
      </c>
    </row>
    <row r="19" spans="1:8" ht="13.15" x14ac:dyDescent="0.4">
      <c r="A19" s="15" t="s">
        <v>82</v>
      </c>
      <c r="B19" s="16">
        <v>241.9</v>
      </c>
      <c r="C19" s="16">
        <v>458.5</v>
      </c>
      <c r="D19" s="37" t="s">
        <v>145</v>
      </c>
      <c r="E19" s="31" t="s">
        <v>28</v>
      </c>
      <c r="F19" s="16">
        <v>518</v>
      </c>
      <c r="G19" s="16">
        <v>572</v>
      </c>
      <c r="H19" s="10" t="s">
        <v>118</v>
      </c>
    </row>
    <row r="20" spans="1:8" ht="13.15" x14ac:dyDescent="0.4">
      <c r="A20" s="15" t="s">
        <v>83</v>
      </c>
      <c r="B20" s="16">
        <v>239.8</v>
      </c>
      <c r="C20" s="16">
        <v>458.5</v>
      </c>
      <c r="D20" s="33" t="s">
        <v>153</v>
      </c>
      <c r="E20" s="31" t="s">
        <v>119</v>
      </c>
      <c r="F20" s="16">
        <v>511.8</v>
      </c>
      <c r="G20" s="16">
        <v>572</v>
      </c>
      <c r="H20" s="10" t="s">
        <v>120</v>
      </c>
    </row>
    <row r="21" spans="1:8" ht="13.15" x14ac:dyDescent="0.4">
      <c r="A21" s="15" t="s">
        <v>84</v>
      </c>
      <c r="B21" s="16">
        <v>231.1</v>
      </c>
      <c r="C21" s="16">
        <v>458.5</v>
      </c>
      <c r="D21" s="33" t="s">
        <v>154</v>
      </c>
      <c r="E21" s="31" t="s">
        <v>200</v>
      </c>
      <c r="F21" s="16">
        <v>502.1</v>
      </c>
      <c r="G21" s="16">
        <v>572</v>
      </c>
      <c r="H21" s="29" t="s">
        <v>131</v>
      </c>
    </row>
    <row r="22" spans="1:8" ht="13.15" x14ac:dyDescent="0.4">
      <c r="A22" s="15" t="s">
        <v>85</v>
      </c>
      <c r="B22" s="16">
        <v>230.9</v>
      </c>
      <c r="C22" s="16">
        <v>440.3</v>
      </c>
      <c r="D22" s="33" t="s">
        <v>311</v>
      </c>
      <c r="E22" s="31" t="s">
        <v>29</v>
      </c>
      <c r="F22" s="16">
        <v>497</v>
      </c>
      <c r="G22" s="16">
        <v>572</v>
      </c>
      <c r="H22" s="29" t="s">
        <v>145</v>
      </c>
    </row>
    <row r="23" spans="1:8" ht="13.15" x14ac:dyDescent="0.4">
      <c r="A23" s="15" t="s">
        <v>86</v>
      </c>
      <c r="B23" s="16">
        <v>223.3</v>
      </c>
      <c r="C23" s="16">
        <v>440.2</v>
      </c>
      <c r="D23" s="37" t="s">
        <v>155</v>
      </c>
      <c r="E23" s="31" t="s">
        <v>30</v>
      </c>
      <c r="F23" s="16">
        <v>493.3</v>
      </c>
      <c r="G23" s="16">
        <v>572</v>
      </c>
      <c r="H23" s="10" t="s">
        <v>121</v>
      </c>
    </row>
    <row r="24" spans="1:8" ht="13.15" x14ac:dyDescent="0.4">
      <c r="A24" s="15" t="s">
        <v>87</v>
      </c>
      <c r="B24" s="16">
        <v>218.4</v>
      </c>
      <c r="C24" s="16">
        <v>440.1</v>
      </c>
      <c r="D24" s="37" t="s">
        <v>131</v>
      </c>
      <c r="E24" s="31" t="s">
        <v>31</v>
      </c>
      <c r="F24" s="16">
        <v>493.3</v>
      </c>
      <c r="G24" s="16">
        <v>561</v>
      </c>
      <c r="H24" s="10" t="s">
        <v>297</v>
      </c>
    </row>
    <row r="25" spans="1:8" ht="13.15" x14ac:dyDescent="0.4">
      <c r="A25" s="15" t="s">
        <v>88</v>
      </c>
      <c r="B25" s="16">
        <v>212</v>
      </c>
      <c r="C25" s="16">
        <v>440.1</v>
      </c>
      <c r="D25" s="37" t="s">
        <v>145</v>
      </c>
      <c r="E25" s="31" t="s">
        <v>32</v>
      </c>
      <c r="F25" s="16">
        <v>487.2</v>
      </c>
      <c r="G25" s="16">
        <v>561</v>
      </c>
      <c r="H25" s="10" t="s">
        <v>122</v>
      </c>
    </row>
    <row r="26" spans="1:8" ht="13.15" x14ac:dyDescent="0.4">
      <c r="A26" s="15" t="s">
        <v>89</v>
      </c>
      <c r="B26" s="16">
        <v>207.5</v>
      </c>
      <c r="C26" s="16">
        <v>440.1</v>
      </c>
      <c r="D26" s="37" t="s">
        <v>145</v>
      </c>
      <c r="E26" s="31" t="s">
        <v>33</v>
      </c>
      <c r="F26" s="16">
        <v>482.9</v>
      </c>
      <c r="G26" s="16">
        <v>561</v>
      </c>
      <c r="H26" s="10" t="s">
        <v>123</v>
      </c>
    </row>
    <row r="27" spans="1:8" ht="13.15" x14ac:dyDescent="0.4">
      <c r="A27" s="15" t="s">
        <v>90</v>
      </c>
      <c r="B27" s="16">
        <v>196.1</v>
      </c>
      <c r="C27" s="16">
        <v>440</v>
      </c>
      <c r="D27" s="33" t="s">
        <v>156</v>
      </c>
      <c r="E27" s="31" t="s">
        <v>34</v>
      </c>
      <c r="F27" s="16">
        <v>482.9</v>
      </c>
      <c r="G27" s="16">
        <v>545</v>
      </c>
      <c r="H27" s="10" t="s">
        <v>298</v>
      </c>
    </row>
    <row r="28" spans="1:8" ht="13.15" x14ac:dyDescent="0.4">
      <c r="A28" s="15">
        <v>0</v>
      </c>
      <c r="B28" s="16">
        <v>189.1</v>
      </c>
      <c r="C28" s="16">
        <v>440</v>
      </c>
      <c r="D28" s="37" t="s">
        <v>145</v>
      </c>
      <c r="E28" s="31" t="s">
        <v>35</v>
      </c>
      <c r="F28" s="16">
        <v>479.7</v>
      </c>
      <c r="G28" s="16">
        <v>545</v>
      </c>
      <c r="H28" s="29" t="s">
        <v>145</v>
      </c>
    </row>
    <row r="29" spans="1:8" ht="13.15" x14ac:dyDescent="0.4">
      <c r="A29" s="15" t="s">
        <v>91</v>
      </c>
      <c r="B29" s="16">
        <v>180.3</v>
      </c>
      <c r="C29" s="16">
        <v>440</v>
      </c>
      <c r="D29" s="37" t="s">
        <v>145</v>
      </c>
      <c r="E29" s="31" t="s">
        <v>198</v>
      </c>
      <c r="F29" s="16">
        <v>475.5</v>
      </c>
      <c r="G29" s="16">
        <v>545</v>
      </c>
      <c r="H29" s="29" t="s">
        <v>131</v>
      </c>
    </row>
    <row r="30" spans="1:8" ht="13.15" x14ac:dyDescent="0.4">
      <c r="A30" s="15" t="s">
        <v>92</v>
      </c>
      <c r="B30" s="16">
        <v>164.2</v>
      </c>
      <c r="C30" s="16">
        <v>440</v>
      </c>
      <c r="D30" s="37" t="s">
        <v>145</v>
      </c>
      <c r="E30" s="31" t="s">
        <v>36</v>
      </c>
      <c r="F30" s="16">
        <v>468</v>
      </c>
      <c r="G30" s="16">
        <v>545</v>
      </c>
      <c r="H30" s="29" t="s">
        <v>145</v>
      </c>
    </row>
    <row r="31" spans="1:8" ht="13.15" x14ac:dyDescent="0.4">
      <c r="A31" s="15" t="s">
        <v>93</v>
      </c>
      <c r="B31" s="16">
        <v>157.69999999999999</v>
      </c>
      <c r="C31" s="16">
        <v>440</v>
      </c>
      <c r="D31" s="33" t="s">
        <v>157</v>
      </c>
      <c r="E31" s="31" t="s">
        <v>37</v>
      </c>
      <c r="F31" s="16">
        <v>463.5</v>
      </c>
      <c r="G31" s="16">
        <v>545</v>
      </c>
      <c r="H31" s="10" t="s">
        <v>125</v>
      </c>
    </row>
    <row r="32" spans="1:8" ht="13.15" x14ac:dyDescent="0.4">
      <c r="A32" s="15" t="s">
        <v>94</v>
      </c>
      <c r="B32" s="16">
        <v>157.69999999999999</v>
      </c>
      <c r="C32" s="16">
        <v>430</v>
      </c>
      <c r="D32" s="33" t="s">
        <v>312</v>
      </c>
      <c r="E32" s="31" t="s">
        <v>38</v>
      </c>
      <c r="F32" s="16">
        <v>457.2</v>
      </c>
      <c r="G32" s="16">
        <v>545</v>
      </c>
      <c r="H32" s="10" t="s">
        <v>126</v>
      </c>
    </row>
    <row r="33" spans="1:8" ht="13.15" x14ac:dyDescent="0.4">
      <c r="A33" s="15" t="s">
        <v>95</v>
      </c>
      <c r="B33" s="16">
        <v>152.9</v>
      </c>
      <c r="C33" s="16">
        <v>429.9</v>
      </c>
      <c r="D33" s="37" t="s">
        <v>145</v>
      </c>
      <c r="E33" s="31" t="s">
        <v>39</v>
      </c>
      <c r="F33" s="16">
        <v>457.2</v>
      </c>
      <c r="G33" s="16">
        <v>536</v>
      </c>
      <c r="H33" s="10" t="s">
        <v>299</v>
      </c>
    </row>
    <row r="34" spans="1:8" ht="13.15" x14ac:dyDescent="0.4">
      <c r="A34" s="15" t="s">
        <v>96</v>
      </c>
      <c r="B34" s="16">
        <v>146.69999999999999</v>
      </c>
      <c r="C34" s="16">
        <v>429.7</v>
      </c>
      <c r="D34" s="37" t="s">
        <v>145</v>
      </c>
      <c r="E34" s="31" t="s">
        <v>40</v>
      </c>
      <c r="F34" s="16">
        <v>453.1</v>
      </c>
      <c r="G34" s="16">
        <v>536</v>
      </c>
      <c r="H34" s="10" t="s">
        <v>127</v>
      </c>
    </row>
    <row r="35" spans="1:8" ht="13.15" x14ac:dyDescent="0.4">
      <c r="A35" s="15" t="s">
        <v>97</v>
      </c>
      <c r="B35" s="16">
        <v>145.5</v>
      </c>
      <c r="C35" s="16">
        <v>429.7</v>
      </c>
      <c r="D35" s="33" t="s">
        <v>158</v>
      </c>
      <c r="E35" s="31" t="s">
        <v>41</v>
      </c>
      <c r="F35" s="16">
        <v>450.2</v>
      </c>
      <c r="G35" s="16">
        <v>536</v>
      </c>
      <c r="H35" s="10" t="s">
        <v>128</v>
      </c>
    </row>
    <row r="36" spans="1:8" ht="13.15" x14ac:dyDescent="0.4">
      <c r="A36" s="15" t="s">
        <v>98</v>
      </c>
      <c r="B36" s="16">
        <v>136.80000000000001</v>
      </c>
      <c r="C36" s="16">
        <v>429.5</v>
      </c>
      <c r="D36" s="33" t="s">
        <v>159</v>
      </c>
      <c r="E36" s="31" t="s">
        <v>42</v>
      </c>
      <c r="F36" s="16">
        <v>437.1</v>
      </c>
      <c r="G36" s="16">
        <v>536</v>
      </c>
      <c r="H36" s="10" t="s">
        <v>129</v>
      </c>
    </row>
    <row r="37" spans="1:8" ht="13.15" x14ac:dyDescent="0.4">
      <c r="A37" s="15" t="s">
        <v>99</v>
      </c>
      <c r="B37" s="16">
        <v>131.6</v>
      </c>
      <c r="C37" s="16">
        <v>429.5</v>
      </c>
      <c r="D37" s="37" t="s">
        <v>145</v>
      </c>
      <c r="E37" s="31" t="s">
        <v>43</v>
      </c>
      <c r="F37" s="16">
        <v>437.1</v>
      </c>
      <c r="G37" s="16">
        <v>528</v>
      </c>
      <c r="H37" s="10" t="s">
        <v>300</v>
      </c>
    </row>
    <row r="38" spans="1:8" ht="13.15" x14ac:dyDescent="0.4">
      <c r="A38" s="15" t="s">
        <v>100</v>
      </c>
      <c r="B38" s="16">
        <v>127.1</v>
      </c>
      <c r="C38" s="16">
        <v>429.4</v>
      </c>
      <c r="D38" s="37" t="s">
        <v>145</v>
      </c>
      <c r="E38" s="31" t="s">
        <v>44</v>
      </c>
      <c r="F38" s="16">
        <v>427.7</v>
      </c>
      <c r="G38" s="16">
        <v>528</v>
      </c>
      <c r="H38" s="10" t="s">
        <v>130</v>
      </c>
    </row>
    <row r="39" spans="1:8" ht="13.15" x14ac:dyDescent="0.4">
      <c r="A39" s="15" t="s">
        <v>101</v>
      </c>
      <c r="B39" s="16">
        <v>120.8</v>
      </c>
      <c r="C39" s="16">
        <v>429.2</v>
      </c>
      <c r="D39" s="37" t="s">
        <v>145</v>
      </c>
      <c r="E39" s="31" t="s">
        <v>197</v>
      </c>
      <c r="F39" s="16">
        <v>415.2</v>
      </c>
      <c r="G39" s="16">
        <v>528</v>
      </c>
      <c r="H39" s="29" t="s">
        <v>196</v>
      </c>
    </row>
    <row r="40" spans="1:8" ht="13.15" x14ac:dyDescent="0.4">
      <c r="A40" s="15" t="s">
        <v>102</v>
      </c>
      <c r="B40" s="16">
        <v>119.6</v>
      </c>
      <c r="C40" s="16">
        <v>429.2</v>
      </c>
      <c r="D40" s="33" t="s">
        <v>160</v>
      </c>
      <c r="E40" s="31" t="s">
        <v>45</v>
      </c>
      <c r="F40" s="16">
        <v>410.5</v>
      </c>
      <c r="G40" s="16">
        <v>528</v>
      </c>
      <c r="H40" s="10" t="s">
        <v>132</v>
      </c>
    </row>
    <row r="41" spans="1:8" ht="13.15" x14ac:dyDescent="0.4">
      <c r="A41" s="15" t="s">
        <v>103</v>
      </c>
      <c r="B41" s="16">
        <v>118.5</v>
      </c>
      <c r="C41" s="16">
        <v>429.2</v>
      </c>
      <c r="D41" s="37" t="s">
        <v>145</v>
      </c>
      <c r="E41" s="31" t="s">
        <v>46</v>
      </c>
      <c r="F41" s="16">
        <v>410.5</v>
      </c>
      <c r="G41" s="16">
        <v>518.20000000000005</v>
      </c>
      <c r="H41" s="10" t="s">
        <v>301</v>
      </c>
    </row>
    <row r="42" spans="1:8" ht="13.15" x14ac:dyDescent="0.4">
      <c r="A42" s="15" t="s">
        <v>104</v>
      </c>
      <c r="B42" s="16">
        <v>108.4</v>
      </c>
      <c r="C42" s="16">
        <v>429.1</v>
      </c>
      <c r="D42" s="37" t="s">
        <v>145</v>
      </c>
      <c r="E42" s="31" t="s">
        <v>47</v>
      </c>
      <c r="F42" s="16">
        <v>403.1</v>
      </c>
      <c r="G42" s="16">
        <v>518.20000000000005</v>
      </c>
      <c r="H42" s="10" t="s">
        <v>133</v>
      </c>
    </row>
    <row r="43" spans="1:8" ht="13.15" x14ac:dyDescent="0.4">
      <c r="A43" s="15" t="s">
        <v>105</v>
      </c>
      <c r="B43" s="16">
        <v>97.2</v>
      </c>
      <c r="C43" s="16">
        <v>429</v>
      </c>
      <c r="D43" s="37" t="s">
        <v>145</v>
      </c>
      <c r="E43" s="31" t="s">
        <v>48</v>
      </c>
      <c r="F43" s="16">
        <v>399</v>
      </c>
      <c r="G43" s="16">
        <v>518.20000000000005</v>
      </c>
      <c r="H43" s="29" t="s">
        <v>145</v>
      </c>
    </row>
    <row r="44" spans="1:8" ht="13.15" x14ac:dyDescent="0.4">
      <c r="A44" s="15" t="s">
        <v>106</v>
      </c>
      <c r="B44" s="16">
        <v>88.5</v>
      </c>
      <c r="C44" s="16">
        <v>429</v>
      </c>
      <c r="D44" s="33" t="s">
        <v>161</v>
      </c>
      <c r="E44" s="31" t="s">
        <v>49</v>
      </c>
      <c r="F44" s="16">
        <v>383.9</v>
      </c>
      <c r="G44" s="16">
        <v>518.20000000000005</v>
      </c>
      <c r="H44" s="10" t="s">
        <v>134</v>
      </c>
    </row>
    <row r="45" spans="1:8" ht="13.15" x14ac:dyDescent="0.4">
      <c r="A45" s="15" t="s">
        <v>107</v>
      </c>
      <c r="B45" s="16">
        <v>80.2</v>
      </c>
      <c r="C45" s="16">
        <v>429</v>
      </c>
      <c r="D45" s="33" t="s">
        <v>162</v>
      </c>
      <c r="E45" s="31" t="s">
        <v>50</v>
      </c>
      <c r="F45" s="16">
        <v>383.8</v>
      </c>
      <c r="G45" s="16">
        <v>518.20000000000005</v>
      </c>
      <c r="H45" s="29" t="s">
        <v>145</v>
      </c>
    </row>
    <row r="46" spans="1:8" ht="13.15" x14ac:dyDescent="0.4">
      <c r="A46" s="15" t="s">
        <v>108</v>
      </c>
      <c r="B46" s="16">
        <v>80.2</v>
      </c>
      <c r="C46" s="16">
        <v>419.6</v>
      </c>
      <c r="D46" s="33" t="s">
        <v>313</v>
      </c>
      <c r="E46" s="31" t="s">
        <v>51</v>
      </c>
      <c r="F46" s="16">
        <v>364.3</v>
      </c>
      <c r="G46" s="16">
        <v>518.20000000000005</v>
      </c>
      <c r="H46" s="10" t="s">
        <v>135</v>
      </c>
    </row>
    <row r="47" spans="1:8" ht="13.15" x14ac:dyDescent="0.4">
      <c r="B47" s="10"/>
      <c r="C47" s="10"/>
      <c r="E47" s="31" t="s">
        <v>52</v>
      </c>
      <c r="F47" s="16">
        <v>364.3</v>
      </c>
      <c r="G47" s="16">
        <v>480</v>
      </c>
      <c r="H47" s="10" t="s">
        <v>302</v>
      </c>
    </row>
    <row r="48" spans="1:8" ht="13.15" x14ac:dyDescent="0.4">
      <c r="E48" s="31" t="s">
        <v>53</v>
      </c>
      <c r="F48" s="16">
        <v>359.9</v>
      </c>
      <c r="G48" s="16">
        <v>479.6</v>
      </c>
      <c r="H48" s="29" t="s">
        <v>145</v>
      </c>
    </row>
    <row r="49" spans="5:8" ht="13.15" x14ac:dyDescent="0.4">
      <c r="E49" s="31" t="s">
        <v>54</v>
      </c>
      <c r="F49" s="16">
        <v>352.9</v>
      </c>
      <c r="G49" s="16">
        <v>479</v>
      </c>
      <c r="H49" s="10" t="s">
        <v>136</v>
      </c>
    </row>
    <row r="50" spans="5:8" ht="13.15" x14ac:dyDescent="0.4">
      <c r="E50" s="31" t="s">
        <v>55</v>
      </c>
      <c r="F50" s="16">
        <v>343.2</v>
      </c>
      <c r="G50" s="16">
        <v>476.5</v>
      </c>
      <c r="H50" s="10" t="s">
        <v>137</v>
      </c>
    </row>
    <row r="51" spans="5:8" ht="13.15" x14ac:dyDescent="0.4">
      <c r="E51" s="31" t="s">
        <v>56</v>
      </c>
      <c r="F51" s="16">
        <v>343.2</v>
      </c>
      <c r="G51" s="16">
        <v>470</v>
      </c>
      <c r="H51" s="10" t="s">
        <v>303</v>
      </c>
    </row>
    <row r="52" spans="5:8" ht="13.15" x14ac:dyDescent="0.4">
      <c r="E52" s="31" t="s">
        <v>57</v>
      </c>
      <c r="F52" s="16">
        <v>336</v>
      </c>
      <c r="G52" s="16">
        <v>470</v>
      </c>
      <c r="H52" s="10" t="s">
        <v>138</v>
      </c>
    </row>
    <row r="53" spans="5:8" ht="13.15" x14ac:dyDescent="0.4">
      <c r="E53" s="31" t="s">
        <v>58</v>
      </c>
      <c r="F53" s="16">
        <v>327</v>
      </c>
      <c r="G53" s="16">
        <v>470</v>
      </c>
      <c r="H53" s="10" t="s">
        <v>139</v>
      </c>
    </row>
    <row r="54" spans="5:8" ht="13.15" x14ac:dyDescent="0.4">
      <c r="E54" s="31" t="s">
        <v>59</v>
      </c>
      <c r="F54" s="16">
        <v>324.89999999999998</v>
      </c>
      <c r="G54" s="16">
        <v>470</v>
      </c>
      <c r="H54" s="29" t="s">
        <v>140</v>
      </c>
    </row>
    <row r="55" spans="5:8" ht="13.15" x14ac:dyDescent="0.4">
      <c r="E55" s="31" t="s">
        <v>60</v>
      </c>
      <c r="F55" s="16">
        <v>324.89999999999998</v>
      </c>
      <c r="G55" s="16">
        <v>459.5</v>
      </c>
      <c r="H55" s="10" t="s">
        <v>304</v>
      </c>
    </row>
    <row r="56" spans="5:8" ht="13.15" x14ac:dyDescent="0.4">
      <c r="E56" s="31" t="s">
        <v>61</v>
      </c>
      <c r="F56" s="16">
        <v>320</v>
      </c>
      <c r="G56" s="16">
        <v>459.5</v>
      </c>
      <c r="H56" s="29" t="s">
        <v>145</v>
      </c>
    </row>
    <row r="57" spans="5:8" ht="13.15" x14ac:dyDescent="0.4">
      <c r="E57" s="31" t="s">
        <v>62</v>
      </c>
      <c r="F57" s="16">
        <v>309.8</v>
      </c>
      <c r="G57" s="16">
        <v>459.5</v>
      </c>
      <c r="H57" s="10" t="s">
        <v>141</v>
      </c>
    </row>
    <row r="58" spans="5:8" ht="13.15" x14ac:dyDescent="0.4">
      <c r="E58" s="31" t="s">
        <v>63</v>
      </c>
      <c r="F58" s="16">
        <v>301.2</v>
      </c>
      <c r="G58" s="16">
        <v>459.5</v>
      </c>
      <c r="H58" s="29" t="s">
        <v>142</v>
      </c>
    </row>
    <row r="59" spans="5:8" ht="13.15" x14ac:dyDescent="0.4">
      <c r="E59" s="31" t="s">
        <v>64</v>
      </c>
      <c r="F59" s="16">
        <v>301.2</v>
      </c>
      <c r="G59" s="16">
        <v>449</v>
      </c>
      <c r="H59" s="29" t="s">
        <v>305</v>
      </c>
    </row>
    <row r="65" spans="1:9" x14ac:dyDescent="0.35">
      <c r="A65" s="20"/>
      <c r="B65" s="21"/>
      <c r="C65" s="21"/>
      <c r="D65" s="35"/>
      <c r="E65" s="20"/>
      <c r="F65" s="20"/>
      <c r="G65" s="20"/>
    </row>
    <row r="66" spans="1:9" s="24" customFormat="1" ht="13.15" x14ac:dyDescent="0.4">
      <c r="A66" s="22"/>
      <c r="B66" s="23" t="s">
        <v>110</v>
      </c>
      <c r="C66" s="23"/>
      <c r="D66" s="36"/>
      <c r="E66" s="22"/>
      <c r="F66" s="22"/>
      <c r="G66" s="22"/>
      <c r="H66" s="22"/>
      <c r="I66" s="22"/>
    </row>
  </sheetData>
  <phoneticPr fontId="0" type="noConversion"/>
  <hyperlinks>
    <hyperlink ref="D17" r:id="rId1" xr:uid="{00000000-0004-0000-0100-000000000000}"/>
    <hyperlink ref="H7" r:id="rId2" xr:uid="{085E5757-D049-4B9E-86F5-4C4F0CB8CF13}"/>
    <hyperlink ref="H12" r:id="rId3" xr:uid="{2F2E05D5-E3EA-4AAE-8DB2-87B0FE08DC9F}"/>
    <hyperlink ref="H18" r:id="rId4" xr:uid="{AA426041-F33D-4333-93AA-DC73EBA64976}"/>
  </hyperlinks>
  <pageMargins left="0.75" right="0.75" top="1" bottom="1" header="0.5" footer="0.5"/>
  <pageSetup orientation="portrait" horizontalDpi="360" verticalDpi="36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79A9-8D08-484B-85D9-E14335D8CDD2}">
  <sheetPr codeName="Sheet6"/>
  <dimension ref="A1:K70"/>
  <sheetViews>
    <sheetView topLeftCell="B1" workbookViewId="0">
      <selection activeCell="C71" sqref="C71"/>
    </sheetView>
  </sheetViews>
  <sheetFormatPr defaultRowHeight="12.75" x14ac:dyDescent="0.35"/>
  <cols>
    <col min="1" max="1" width="67.33203125" customWidth="1"/>
    <col min="4" max="4" width="9.3984375" customWidth="1"/>
    <col min="9" max="9" width="71.86328125" customWidth="1"/>
    <col min="10" max="10" width="14.53125" customWidth="1"/>
    <col min="11" max="11" width="22.53125" customWidth="1"/>
  </cols>
  <sheetData>
    <row r="1" spans="1:11" ht="17.649999999999999" x14ac:dyDescent="0.5">
      <c r="A1" s="125" t="s">
        <v>221</v>
      </c>
      <c r="B1" s="126"/>
      <c r="C1" s="126"/>
      <c r="D1" s="126"/>
      <c r="E1" s="126"/>
      <c r="F1" s="126"/>
      <c r="G1" s="127"/>
      <c r="I1" s="128" t="s">
        <v>239</v>
      </c>
      <c r="J1" s="129"/>
      <c r="K1" s="130"/>
    </row>
    <row r="2" spans="1:11" ht="20.25" x14ac:dyDescent="0.4">
      <c r="A2" s="65" t="s">
        <v>222</v>
      </c>
      <c r="B2" s="66" t="s">
        <v>3</v>
      </c>
      <c r="C2" s="66" t="s">
        <v>223</v>
      </c>
      <c r="D2" s="67" t="s">
        <v>224</v>
      </c>
      <c r="E2" s="68" t="s">
        <v>225</v>
      </c>
      <c r="F2" s="67" t="s">
        <v>226</v>
      </c>
      <c r="G2" s="68" t="s">
        <v>227</v>
      </c>
      <c r="I2" s="15" t="s">
        <v>240</v>
      </c>
      <c r="J2" s="74" t="s">
        <v>241</v>
      </c>
      <c r="K2" s="74" t="s">
        <v>242</v>
      </c>
    </row>
    <row r="3" spans="1:11" ht="13.15" x14ac:dyDescent="0.4">
      <c r="A3" s="15" t="s">
        <v>12</v>
      </c>
      <c r="B3" s="16">
        <v>615.1</v>
      </c>
      <c r="C3" s="16">
        <v>600</v>
      </c>
      <c r="D3" s="16" t="s">
        <v>224</v>
      </c>
      <c r="E3" s="16">
        <v>3</v>
      </c>
      <c r="F3" s="69" t="s">
        <v>226</v>
      </c>
      <c r="G3" s="16">
        <f t="shared" ref="G3:G59" si="0">C3+E3</f>
        <v>603</v>
      </c>
      <c r="I3" s="15" t="s">
        <v>65</v>
      </c>
      <c r="J3" s="16">
        <v>326.5</v>
      </c>
      <c r="K3" s="17" t="s">
        <v>4</v>
      </c>
    </row>
    <row r="4" spans="1:11" ht="13.15" x14ac:dyDescent="0.4">
      <c r="A4" s="15" t="s">
        <v>13</v>
      </c>
      <c r="B4" s="16">
        <v>606.70000000000005</v>
      </c>
      <c r="C4" s="16">
        <v>596.29999999999995</v>
      </c>
      <c r="D4" s="16" t="s">
        <v>224</v>
      </c>
      <c r="E4" s="16">
        <v>6.7</v>
      </c>
      <c r="F4" s="69" t="s">
        <v>226</v>
      </c>
      <c r="G4" s="16">
        <f t="shared" si="0"/>
        <v>603</v>
      </c>
      <c r="I4" s="15" t="s">
        <v>66</v>
      </c>
      <c r="J4" s="16">
        <v>326.39999999999998</v>
      </c>
      <c r="K4" s="16">
        <v>577.5</v>
      </c>
    </row>
    <row r="5" spans="1:11" ht="13.15" x14ac:dyDescent="0.4">
      <c r="A5" s="15" t="s">
        <v>14</v>
      </c>
      <c r="B5" s="16">
        <v>599.9</v>
      </c>
      <c r="C5" s="16">
        <v>593.29999999999995</v>
      </c>
      <c r="D5" s="16" t="s">
        <v>224</v>
      </c>
      <c r="E5" s="16">
        <v>9.6999999999999993</v>
      </c>
      <c r="F5" s="69" t="s">
        <v>226</v>
      </c>
      <c r="G5" s="16">
        <f t="shared" si="0"/>
        <v>603</v>
      </c>
      <c r="I5" s="15" t="s">
        <v>67</v>
      </c>
      <c r="J5" s="16">
        <v>291.10000000000002</v>
      </c>
      <c r="K5" s="16">
        <v>577.5</v>
      </c>
    </row>
    <row r="6" spans="1:11" ht="13.15" x14ac:dyDescent="0.4">
      <c r="A6" s="15" t="s">
        <v>228</v>
      </c>
      <c r="B6" s="16">
        <v>592.29999999999995</v>
      </c>
      <c r="C6" s="16">
        <v>590.6</v>
      </c>
      <c r="D6" s="16" t="s">
        <v>224</v>
      </c>
      <c r="E6" s="16">
        <v>12.4</v>
      </c>
      <c r="F6" s="69" t="s">
        <v>226</v>
      </c>
      <c r="G6" s="16">
        <f t="shared" si="0"/>
        <v>603</v>
      </c>
      <c r="I6" s="15" t="s">
        <v>68</v>
      </c>
      <c r="J6" s="16">
        <v>290.89999999999998</v>
      </c>
      <c r="K6" s="16">
        <v>538.5</v>
      </c>
    </row>
    <row r="7" spans="1:11" ht="13.15" x14ac:dyDescent="0.4">
      <c r="A7" s="15" t="s">
        <v>15</v>
      </c>
      <c r="B7" s="16">
        <v>583</v>
      </c>
      <c r="C7" s="16">
        <v>588.20000000000005</v>
      </c>
      <c r="D7" s="16" t="s">
        <v>224</v>
      </c>
      <c r="E7" s="16">
        <v>14.8</v>
      </c>
      <c r="F7" s="69" t="s">
        <v>226</v>
      </c>
      <c r="G7" s="16">
        <f t="shared" si="0"/>
        <v>603</v>
      </c>
      <c r="I7" s="15" t="s">
        <v>69</v>
      </c>
      <c r="J7" s="16">
        <v>286</v>
      </c>
      <c r="K7" s="16">
        <v>538.5</v>
      </c>
    </row>
    <row r="8" spans="1:11" ht="13.15" x14ac:dyDescent="0.4">
      <c r="A8" s="15" t="s">
        <v>16</v>
      </c>
      <c r="B8" s="16">
        <v>583</v>
      </c>
      <c r="C8" s="16">
        <v>588.20000000000005</v>
      </c>
      <c r="D8" s="16" t="s">
        <v>224</v>
      </c>
      <c r="E8" s="16">
        <v>3.8</v>
      </c>
      <c r="F8" s="69" t="s">
        <v>226</v>
      </c>
      <c r="G8" s="16">
        <f t="shared" si="0"/>
        <v>592</v>
      </c>
      <c r="I8" s="15" t="s">
        <v>70</v>
      </c>
      <c r="J8" s="16">
        <v>285.89999999999998</v>
      </c>
      <c r="K8" s="16">
        <v>504.5</v>
      </c>
    </row>
    <row r="9" spans="1:11" ht="13.15" x14ac:dyDescent="0.4">
      <c r="A9" s="15" t="s">
        <v>17</v>
      </c>
      <c r="B9" s="16">
        <v>579.9</v>
      </c>
      <c r="C9" s="16">
        <v>585.4</v>
      </c>
      <c r="D9" s="16" t="s">
        <v>224</v>
      </c>
      <c r="E9" s="16">
        <v>6.6</v>
      </c>
      <c r="F9" s="69" t="s">
        <v>226</v>
      </c>
      <c r="G9" s="16">
        <f t="shared" si="0"/>
        <v>592</v>
      </c>
      <c r="I9" s="15" t="s">
        <v>71</v>
      </c>
      <c r="J9" s="16">
        <v>281.2</v>
      </c>
      <c r="K9" s="16">
        <v>504.5</v>
      </c>
    </row>
    <row r="10" spans="1:11" ht="13.15" x14ac:dyDescent="0.4">
      <c r="A10" s="15" t="s">
        <v>18</v>
      </c>
      <c r="B10" s="16">
        <v>567.1</v>
      </c>
      <c r="C10" s="16">
        <v>581.79999999999995</v>
      </c>
      <c r="D10" s="16" t="s">
        <v>224</v>
      </c>
      <c r="E10" s="16">
        <v>10.199999999999999</v>
      </c>
      <c r="F10" s="69" t="s">
        <v>226</v>
      </c>
      <c r="G10" s="16">
        <f t="shared" si="0"/>
        <v>592</v>
      </c>
      <c r="I10" s="15" t="s">
        <v>72</v>
      </c>
      <c r="J10" s="16">
        <v>277.89999999999998</v>
      </c>
      <c r="K10" s="16">
        <v>504.5</v>
      </c>
    </row>
    <row r="11" spans="1:11" ht="13.15" x14ac:dyDescent="0.4">
      <c r="A11" s="15" t="s">
        <v>19</v>
      </c>
      <c r="B11" s="16">
        <v>566.20000000000005</v>
      </c>
      <c r="C11" s="16">
        <v>582.1</v>
      </c>
      <c r="D11" s="16" t="s">
        <v>224</v>
      </c>
      <c r="E11" s="16">
        <v>9.9</v>
      </c>
      <c r="F11" s="69" t="s">
        <v>226</v>
      </c>
      <c r="G11" s="16">
        <f t="shared" si="0"/>
        <v>592</v>
      </c>
      <c r="I11" s="15" t="s">
        <v>73</v>
      </c>
      <c r="J11" s="16">
        <v>271.5</v>
      </c>
      <c r="K11" s="16">
        <v>504.5</v>
      </c>
    </row>
    <row r="12" spans="1:11" ht="13.15" x14ac:dyDescent="0.4">
      <c r="A12" s="15" t="s">
        <v>20</v>
      </c>
      <c r="B12" s="16">
        <v>556.70000000000005</v>
      </c>
      <c r="C12" s="16">
        <v>580.20000000000005</v>
      </c>
      <c r="D12" s="16" t="s">
        <v>224</v>
      </c>
      <c r="E12" s="16">
        <v>11.8</v>
      </c>
      <c r="F12" s="69" t="s">
        <v>226</v>
      </c>
      <c r="G12" s="16">
        <f t="shared" si="0"/>
        <v>592</v>
      </c>
      <c r="I12" s="15" t="s">
        <v>74</v>
      </c>
      <c r="J12" s="16">
        <v>271.39999999999998</v>
      </c>
      <c r="K12" s="16">
        <v>482.8</v>
      </c>
    </row>
    <row r="13" spans="1:11" ht="13.15" x14ac:dyDescent="0.4">
      <c r="A13" s="15" t="s">
        <v>21</v>
      </c>
      <c r="B13" s="16">
        <v>556.70000000000005</v>
      </c>
      <c r="C13" s="16">
        <v>580.20000000000005</v>
      </c>
      <c r="D13" s="16" t="s">
        <v>224</v>
      </c>
      <c r="E13" s="16">
        <v>2.8</v>
      </c>
      <c r="F13" s="69" t="s">
        <v>226</v>
      </c>
      <c r="G13" s="16">
        <f t="shared" si="0"/>
        <v>583</v>
      </c>
      <c r="I13" s="15" t="s">
        <v>75</v>
      </c>
      <c r="J13" s="16">
        <v>263.39999999999998</v>
      </c>
      <c r="K13" s="16">
        <v>482.8</v>
      </c>
    </row>
    <row r="14" spans="1:11" ht="13.15" x14ac:dyDescent="0.4">
      <c r="A14" s="15" t="s">
        <v>22</v>
      </c>
      <c r="B14" s="16">
        <v>553</v>
      </c>
      <c r="C14" s="16">
        <v>579.1</v>
      </c>
      <c r="D14" s="16" t="s">
        <v>224</v>
      </c>
      <c r="E14" s="16">
        <v>3.9</v>
      </c>
      <c r="F14" s="69" t="s">
        <v>226</v>
      </c>
      <c r="G14" s="16">
        <f t="shared" si="0"/>
        <v>583</v>
      </c>
      <c r="I14" s="15" t="s">
        <v>76</v>
      </c>
      <c r="J14" s="16">
        <v>258.8</v>
      </c>
      <c r="K14" s="16">
        <v>482.8</v>
      </c>
    </row>
    <row r="15" spans="1:11" ht="13.15" x14ac:dyDescent="0.4">
      <c r="A15" s="15" t="s">
        <v>23</v>
      </c>
      <c r="B15" s="16">
        <v>547.29999999999995</v>
      </c>
      <c r="C15" s="16" t="s">
        <v>229</v>
      </c>
      <c r="D15" s="16"/>
      <c r="E15" s="16">
        <v>583</v>
      </c>
      <c r="F15" s="69" t="s">
        <v>226</v>
      </c>
      <c r="G15" s="16">
        <v>583</v>
      </c>
      <c r="I15" s="15" t="s">
        <v>77</v>
      </c>
      <c r="J15" s="16">
        <v>252.8</v>
      </c>
      <c r="K15" s="16">
        <v>482.8</v>
      </c>
    </row>
    <row r="16" spans="1:11" ht="13.15" x14ac:dyDescent="0.4">
      <c r="A16" s="15" t="s">
        <v>24</v>
      </c>
      <c r="B16" s="16">
        <v>541</v>
      </c>
      <c r="C16" s="16" t="s">
        <v>229</v>
      </c>
      <c r="D16" s="16"/>
      <c r="E16" s="16">
        <v>583</v>
      </c>
      <c r="F16" s="69" t="s">
        <v>226</v>
      </c>
      <c r="G16" s="16">
        <v>583</v>
      </c>
      <c r="I16" s="15" t="s">
        <v>78</v>
      </c>
      <c r="J16" s="16">
        <v>249.9</v>
      </c>
      <c r="K16" s="16">
        <v>482.8</v>
      </c>
    </row>
    <row r="17" spans="1:11" ht="13.15" x14ac:dyDescent="0.4">
      <c r="A17" s="15" t="s">
        <v>25</v>
      </c>
      <c r="B17" s="16">
        <v>535</v>
      </c>
      <c r="C17" s="16">
        <v>572.29999999999995</v>
      </c>
      <c r="D17" s="16" t="s">
        <v>224</v>
      </c>
      <c r="E17" s="16">
        <v>10.7</v>
      </c>
      <c r="F17" s="69" t="s">
        <v>226</v>
      </c>
      <c r="G17" s="16">
        <f t="shared" si="0"/>
        <v>583</v>
      </c>
      <c r="I17" s="15" t="s">
        <v>79</v>
      </c>
      <c r="J17" s="16">
        <v>247</v>
      </c>
      <c r="K17" s="16">
        <v>482.8</v>
      </c>
    </row>
    <row r="18" spans="1:11" ht="13.15" x14ac:dyDescent="0.4">
      <c r="A18" s="15" t="s">
        <v>26</v>
      </c>
      <c r="B18" s="16">
        <v>522.5</v>
      </c>
      <c r="C18" s="16">
        <v>568.70000000000005</v>
      </c>
      <c r="D18" s="16" t="s">
        <v>224</v>
      </c>
      <c r="E18" s="16">
        <v>14.3</v>
      </c>
      <c r="F18" s="69" t="s">
        <v>226</v>
      </c>
      <c r="G18" s="16">
        <f t="shared" si="0"/>
        <v>583</v>
      </c>
      <c r="I18" s="15" t="s">
        <v>80</v>
      </c>
      <c r="J18" s="16">
        <v>244.5</v>
      </c>
      <c r="K18" s="16">
        <v>482.8</v>
      </c>
    </row>
    <row r="19" spans="1:11" ht="13.15" x14ac:dyDescent="0.4">
      <c r="A19" s="15" t="s">
        <v>27</v>
      </c>
      <c r="B19" s="16">
        <v>522.5</v>
      </c>
      <c r="C19" s="16">
        <v>568.70000000000005</v>
      </c>
      <c r="D19" s="16" t="s">
        <v>224</v>
      </c>
      <c r="E19" s="16">
        <v>3.3</v>
      </c>
      <c r="F19" s="69" t="s">
        <v>226</v>
      </c>
      <c r="G19" s="16">
        <f t="shared" si="0"/>
        <v>572</v>
      </c>
      <c r="I19" s="15" t="s">
        <v>81</v>
      </c>
      <c r="J19" s="16">
        <v>244.4</v>
      </c>
      <c r="K19" s="16">
        <v>458.5</v>
      </c>
    </row>
    <row r="20" spans="1:11" ht="13.15" x14ac:dyDescent="0.4">
      <c r="A20" s="15" t="s">
        <v>28</v>
      </c>
      <c r="B20" s="16">
        <v>518</v>
      </c>
      <c r="C20" s="16">
        <v>566.29999999999995</v>
      </c>
      <c r="D20" s="16" t="s">
        <v>224</v>
      </c>
      <c r="E20" s="16">
        <v>5.7</v>
      </c>
      <c r="F20" s="69" t="s">
        <v>226</v>
      </c>
      <c r="G20" s="16">
        <f t="shared" si="0"/>
        <v>572</v>
      </c>
      <c r="I20" s="15" t="s">
        <v>82</v>
      </c>
      <c r="J20" s="16">
        <v>241.9</v>
      </c>
      <c r="K20" s="16">
        <v>458.5</v>
      </c>
    </row>
    <row r="21" spans="1:11" ht="13.15" x14ac:dyDescent="0.4">
      <c r="A21" s="15" t="s">
        <v>230</v>
      </c>
      <c r="B21" s="16">
        <v>511.8</v>
      </c>
      <c r="C21" s="16">
        <v>563.20000000000005</v>
      </c>
      <c r="D21" s="16" t="s">
        <v>224</v>
      </c>
      <c r="E21" s="16">
        <v>8.8000000000000007</v>
      </c>
      <c r="F21" s="69" t="s">
        <v>226</v>
      </c>
      <c r="G21" s="16">
        <f t="shared" si="0"/>
        <v>572</v>
      </c>
      <c r="I21" s="15" t="s">
        <v>83</v>
      </c>
      <c r="J21" s="16">
        <v>239.8</v>
      </c>
      <c r="K21" s="16">
        <v>458.5</v>
      </c>
    </row>
    <row r="22" spans="1:11" ht="13.15" x14ac:dyDescent="0.4">
      <c r="A22" s="15" t="s">
        <v>231</v>
      </c>
      <c r="B22" s="16">
        <v>502.1</v>
      </c>
      <c r="C22" s="16">
        <v>563.5</v>
      </c>
      <c r="D22" s="16" t="s">
        <v>224</v>
      </c>
      <c r="E22" s="16">
        <v>8.5</v>
      </c>
      <c r="F22" s="69" t="s">
        <v>226</v>
      </c>
      <c r="G22" s="16">
        <f t="shared" si="0"/>
        <v>572</v>
      </c>
      <c r="I22" s="15" t="s">
        <v>84</v>
      </c>
      <c r="J22" s="16">
        <v>231.1</v>
      </c>
      <c r="K22" s="16">
        <v>458.5</v>
      </c>
    </row>
    <row r="23" spans="1:11" ht="13.15" x14ac:dyDescent="0.4">
      <c r="A23" s="15" t="s">
        <v>29</v>
      </c>
      <c r="B23" s="16">
        <v>497</v>
      </c>
      <c r="C23" s="16">
        <v>563.20000000000005</v>
      </c>
      <c r="D23" s="16" t="s">
        <v>224</v>
      </c>
      <c r="E23" s="16">
        <v>8.8000000000000007</v>
      </c>
      <c r="F23" s="69" t="s">
        <v>226</v>
      </c>
      <c r="G23" s="16">
        <f t="shared" si="0"/>
        <v>572</v>
      </c>
      <c r="I23" s="15" t="s">
        <v>85</v>
      </c>
      <c r="J23" s="16">
        <v>230.9</v>
      </c>
      <c r="K23" s="16">
        <v>440.3</v>
      </c>
    </row>
    <row r="24" spans="1:11" ht="13.15" x14ac:dyDescent="0.4">
      <c r="A24" s="15" t="s">
        <v>30</v>
      </c>
      <c r="B24" s="16">
        <v>493.3</v>
      </c>
      <c r="C24" s="16">
        <v>557.1</v>
      </c>
      <c r="D24" s="16" t="s">
        <v>224</v>
      </c>
      <c r="E24" s="16">
        <v>14.9</v>
      </c>
      <c r="F24" s="69" t="s">
        <v>226</v>
      </c>
      <c r="G24" s="16">
        <f t="shared" si="0"/>
        <v>572</v>
      </c>
      <c r="I24" s="15" t="s">
        <v>86</v>
      </c>
      <c r="J24" s="16">
        <v>223.3</v>
      </c>
      <c r="K24" s="16">
        <v>440.2</v>
      </c>
    </row>
    <row r="25" spans="1:11" ht="13.15" x14ac:dyDescent="0.4">
      <c r="A25" s="15" t="s">
        <v>31</v>
      </c>
      <c r="B25" s="16">
        <v>493.3</v>
      </c>
      <c r="C25" s="16">
        <v>557.1</v>
      </c>
      <c r="D25" s="16" t="s">
        <v>224</v>
      </c>
      <c r="E25" s="16">
        <v>3.9</v>
      </c>
      <c r="F25" s="69" t="s">
        <v>226</v>
      </c>
      <c r="G25" s="16">
        <f t="shared" si="0"/>
        <v>561</v>
      </c>
      <c r="I25" s="15" t="s">
        <v>243</v>
      </c>
      <c r="J25" s="16">
        <v>218.4</v>
      </c>
      <c r="K25" s="16">
        <v>440.1</v>
      </c>
    </row>
    <row r="26" spans="1:11" ht="13.15" x14ac:dyDescent="0.4">
      <c r="A26" s="15" t="s">
        <v>32</v>
      </c>
      <c r="B26" s="16">
        <v>487.2</v>
      </c>
      <c r="C26" s="16">
        <v>551.4</v>
      </c>
      <c r="D26" s="16" t="s">
        <v>224</v>
      </c>
      <c r="E26" s="16">
        <v>9.6</v>
      </c>
      <c r="F26" s="69" t="s">
        <v>226</v>
      </c>
      <c r="G26" s="16">
        <f t="shared" si="0"/>
        <v>561</v>
      </c>
      <c r="I26" s="15" t="s">
        <v>88</v>
      </c>
      <c r="J26" s="16">
        <v>212</v>
      </c>
      <c r="K26" s="16">
        <v>440.1</v>
      </c>
    </row>
    <row r="27" spans="1:11" ht="13.15" x14ac:dyDescent="0.4">
      <c r="A27" s="15" t="s">
        <v>33</v>
      </c>
      <c r="B27" s="16">
        <v>482.9</v>
      </c>
      <c r="C27" s="16">
        <v>542.5</v>
      </c>
      <c r="D27" s="16" t="s">
        <v>224</v>
      </c>
      <c r="E27" s="16">
        <v>18.5</v>
      </c>
      <c r="F27" s="69" t="s">
        <v>226</v>
      </c>
      <c r="G27" s="16">
        <f t="shared" si="0"/>
        <v>561</v>
      </c>
      <c r="I27" s="15" t="s">
        <v>89</v>
      </c>
      <c r="J27" s="16">
        <v>207.5</v>
      </c>
      <c r="K27" s="16">
        <v>440.1</v>
      </c>
    </row>
    <row r="28" spans="1:11" ht="13.15" x14ac:dyDescent="0.4">
      <c r="A28" s="15" t="s">
        <v>34</v>
      </c>
      <c r="B28" s="16">
        <v>482.9</v>
      </c>
      <c r="C28" s="16">
        <v>542.5</v>
      </c>
      <c r="D28" s="16" t="s">
        <v>224</v>
      </c>
      <c r="E28" s="16">
        <v>2.5</v>
      </c>
      <c r="F28" s="69" t="s">
        <v>226</v>
      </c>
      <c r="G28" s="16">
        <f t="shared" si="0"/>
        <v>545</v>
      </c>
      <c r="I28" s="15" t="s">
        <v>90</v>
      </c>
      <c r="J28" s="16">
        <v>196.1</v>
      </c>
      <c r="K28" s="16">
        <v>440</v>
      </c>
    </row>
    <row r="29" spans="1:11" ht="13.15" x14ac:dyDescent="0.4">
      <c r="A29" s="15" t="s">
        <v>35</v>
      </c>
      <c r="B29" s="16">
        <v>479.7</v>
      </c>
      <c r="C29" s="16">
        <v>534.1</v>
      </c>
      <c r="D29" s="16" t="s">
        <v>224</v>
      </c>
      <c r="E29" s="16">
        <v>10.9</v>
      </c>
      <c r="F29" s="69" t="s">
        <v>226</v>
      </c>
      <c r="G29" s="16">
        <f t="shared" si="0"/>
        <v>545</v>
      </c>
      <c r="I29" s="15" t="s">
        <v>215</v>
      </c>
      <c r="J29" s="16">
        <v>189.1</v>
      </c>
      <c r="K29" s="16">
        <v>440</v>
      </c>
    </row>
    <row r="30" spans="1:11" ht="13.15" x14ac:dyDescent="0.4">
      <c r="A30" s="70" t="s">
        <v>232</v>
      </c>
      <c r="B30" s="16">
        <v>475.5</v>
      </c>
      <c r="C30" s="16">
        <v>534.20000000000005</v>
      </c>
      <c r="D30" s="16" t="s">
        <v>224</v>
      </c>
      <c r="E30" s="16">
        <v>10.8</v>
      </c>
      <c r="F30" s="69" t="s">
        <v>226</v>
      </c>
      <c r="G30" s="16">
        <f t="shared" si="0"/>
        <v>545</v>
      </c>
      <c r="I30" s="15" t="s">
        <v>91</v>
      </c>
      <c r="J30" s="16">
        <v>180.3</v>
      </c>
      <c r="K30" s="16">
        <v>440</v>
      </c>
    </row>
    <row r="31" spans="1:11" ht="13.15" x14ac:dyDescent="0.4">
      <c r="A31" s="15" t="s">
        <v>36</v>
      </c>
      <c r="B31" s="16">
        <v>468</v>
      </c>
      <c r="C31" s="16">
        <v>540</v>
      </c>
      <c r="D31" s="16" t="s">
        <v>224</v>
      </c>
      <c r="E31" s="16">
        <v>5</v>
      </c>
      <c r="F31" s="69" t="s">
        <v>226</v>
      </c>
      <c r="G31" s="16">
        <f t="shared" si="0"/>
        <v>545</v>
      </c>
      <c r="I31" s="15" t="s">
        <v>92</v>
      </c>
      <c r="J31" s="16">
        <v>164.2</v>
      </c>
      <c r="K31" s="16">
        <v>440</v>
      </c>
    </row>
    <row r="32" spans="1:11" ht="13.15" x14ac:dyDescent="0.4">
      <c r="A32" s="15" t="s">
        <v>37</v>
      </c>
      <c r="B32" s="16">
        <v>463.5</v>
      </c>
      <c r="C32" s="16">
        <v>535.20000000000005</v>
      </c>
      <c r="D32" s="16" t="s">
        <v>224</v>
      </c>
      <c r="E32" s="16">
        <v>9.8000000000000007</v>
      </c>
      <c r="F32" s="69" t="s">
        <v>226</v>
      </c>
      <c r="G32" s="16">
        <f t="shared" si="0"/>
        <v>545</v>
      </c>
      <c r="I32" s="15" t="s">
        <v>93</v>
      </c>
      <c r="J32" s="16">
        <v>157.69999999999999</v>
      </c>
      <c r="K32" s="16">
        <v>440</v>
      </c>
    </row>
    <row r="33" spans="1:11" ht="13.15" x14ac:dyDescent="0.4">
      <c r="A33" s="15" t="s">
        <v>38</v>
      </c>
      <c r="B33" s="16">
        <v>457.2</v>
      </c>
      <c r="C33" s="16">
        <v>533.6</v>
      </c>
      <c r="D33" s="16" t="s">
        <v>224</v>
      </c>
      <c r="E33" s="16">
        <v>11.4</v>
      </c>
      <c r="F33" s="69" t="s">
        <v>226</v>
      </c>
      <c r="G33" s="16">
        <f t="shared" si="0"/>
        <v>545</v>
      </c>
      <c r="I33" s="15" t="s">
        <v>244</v>
      </c>
      <c r="J33" s="16">
        <v>157.69999999999999</v>
      </c>
      <c r="K33" s="16">
        <v>430</v>
      </c>
    </row>
    <row r="34" spans="1:11" ht="13.15" x14ac:dyDescent="0.4">
      <c r="A34" s="15" t="s">
        <v>39</v>
      </c>
      <c r="B34" s="16">
        <v>457.2</v>
      </c>
      <c r="C34" s="16">
        <v>533.6</v>
      </c>
      <c r="D34" s="16" t="s">
        <v>224</v>
      </c>
      <c r="E34" s="16">
        <v>2.4</v>
      </c>
      <c r="F34" s="69" t="s">
        <v>226</v>
      </c>
      <c r="G34" s="16">
        <f t="shared" si="0"/>
        <v>536</v>
      </c>
      <c r="I34" s="15" t="s">
        <v>95</v>
      </c>
      <c r="J34" s="16">
        <v>152.9</v>
      </c>
      <c r="K34" s="16">
        <v>429.9</v>
      </c>
    </row>
    <row r="35" spans="1:11" ht="13.15" x14ac:dyDescent="0.4">
      <c r="A35" s="15" t="s">
        <v>40</v>
      </c>
      <c r="B35" s="16">
        <v>453.1</v>
      </c>
      <c r="C35" s="16">
        <v>530.70000000000005</v>
      </c>
      <c r="D35" s="16" t="s">
        <v>224</v>
      </c>
      <c r="E35" s="16">
        <v>5.3</v>
      </c>
      <c r="F35" s="69" t="s">
        <v>226</v>
      </c>
      <c r="G35" s="16">
        <f t="shared" si="0"/>
        <v>536</v>
      </c>
      <c r="I35" s="15" t="s">
        <v>96</v>
      </c>
      <c r="J35" s="16">
        <v>146.69999999999999</v>
      </c>
      <c r="K35" s="16">
        <v>429.7</v>
      </c>
    </row>
    <row r="36" spans="1:11" ht="13.15" x14ac:dyDescent="0.4">
      <c r="A36" s="15" t="s">
        <v>41</v>
      </c>
      <c r="B36" s="16">
        <v>450.2</v>
      </c>
      <c r="C36" s="16">
        <v>528.20000000000005</v>
      </c>
      <c r="D36" s="16" t="s">
        <v>224</v>
      </c>
      <c r="E36" s="16">
        <v>7.8</v>
      </c>
      <c r="F36" s="69" t="s">
        <v>226</v>
      </c>
      <c r="G36" s="16">
        <f t="shared" si="0"/>
        <v>536</v>
      </c>
      <c r="I36" s="15" t="s">
        <v>97</v>
      </c>
      <c r="J36" s="16">
        <v>145.5</v>
      </c>
      <c r="K36" s="16">
        <v>429.7</v>
      </c>
    </row>
    <row r="37" spans="1:11" ht="13.15" x14ac:dyDescent="0.4">
      <c r="A37" s="15" t="s">
        <v>42</v>
      </c>
      <c r="B37" s="16">
        <v>437.1</v>
      </c>
      <c r="C37" s="16">
        <v>526.70000000000005</v>
      </c>
      <c r="D37" s="16" t="s">
        <v>224</v>
      </c>
      <c r="E37" s="16">
        <v>9.3000000000000007</v>
      </c>
      <c r="F37" s="69" t="s">
        <v>226</v>
      </c>
      <c r="G37" s="16">
        <f t="shared" si="0"/>
        <v>536</v>
      </c>
      <c r="I37" s="15" t="s">
        <v>98</v>
      </c>
      <c r="J37" s="16">
        <v>136.80000000000001</v>
      </c>
      <c r="K37" s="16">
        <v>429.5</v>
      </c>
    </row>
    <row r="38" spans="1:11" ht="13.15" x14ac:dyDescent="0.4">
      <c r="A38" s="15" t="s">
        <v>43</v>
      </c>
      <c r="B38" s="16">
        <v>437.1</v>
      </c>
      <c r="C38" s="16">
        <v>526.70000000000005</v>
      </c>
      <c r="D38" s="16" t="s">
        <v>224</v>
      </c>
      <c r="E38" s="16">
        <v>1.3</v>
      </c>
      <c r="F38" s="69" t="s">
        <v>226</v>
      </c>
      <c r="G38" s="16">
        <f t="shared" si="0"/>
        <v>528</v>
      </c>
      <c r="I38" s="15" t="s">
        <v>99</v>
      </c>
      <c r="J38" s="16">
        <v>131.6</v>
      </c>
      <c r="K38" s="16">
        <v>429.5</v>
      </c>
    </row>
    <row r="39" spans="1:11" ht="13.15" x14ac:dyDescent="0.4">
      <c r="A39" s="15" t="s">
        <v>44</v>
      </c>
      <c r="B39" s="16">
        <v>427.7</v>
      </c>
      <c r="C39" s="16">
        <v>523.20000000000005</v>
      </c>
      <c r="D39" s="16" t="s">
        <v>224</v>
      </c>
      <c r="E39" s="16">
        <v>4.8</v>
      </c>
      <c r="F39" s="69" t="s">
        <v>226</v>
      </c>
      <c r="G39" s="16">
        <f t="shared" si="0"/>
        <v>528</v>
      </c>
      <c r="I39" s="15" t="s">
        <v>100</v>
      </c>
      <c r="J39" s="16">
        <v>127.1</v>
      </c>
      <c r="K39" s="16">
        <v>429.4</v>
      </c>
    </row>
    <row r="40" spans="1:11" ht="13.15" x14ac:dyDescent="0.4">
      <c r="A40" s="15" t="s">
        <v>233</v>
      </c>
      <c r="B40" s="16">
        <v>415.2</v>
      </c>
      <c r="C40" s="16">
        <v>513.20000000000005</v>
      </c>
      <c r="D40" s="16" t="s">
        <v>224</v>
      </c>
      <c r="E40" s="16">
        <v>14.8</v>
      </c>
      <c r="F40" s="69" t="s">
        <v>226</v>
      </c>
      <c r="G40" s="16">
        <f t="shared" si="0"/>
        <v>528</v>
      </c>
      <c r="I40" s="15" t="s">
        <v>101</v>
      </c>
      <c r="J40" s="16">
        <v>120.8</v>
      </c>
      <c r="K40" s="16">
        <v>429.2</v>
      </c>
    </row>
    <row r="41" spans="1:11" ht="13.15" x14ac:dyDescent="0.4">
      <c r="A41" s="15" t="s">
        <v>45</v>
      </c>
      <c r="B41" s="16">
        <v>410.5</v>
      </c>
      <c r="C41" s="16">
        <v>518.5</v>
      </c>
      <c r="D41" s="16" t="s">
        <v>224</v>
      </c>
      <c r="E41" s="16">
        <v>9.5</v>
      </c>
      <c r="F41" s="69" t="s">
        <v>226</v>
      </c>
      <c r="G41" s="16">
        <f t="shared" si="0"/>
        <v>528</v>
      </c>
      <c r="I41" s="15" t="s">
        <v>102</v>
      </c>
      <c r="J41" s="16">
        <v>119.6</v>
      </c>
      <c r="K41" s="16">
        <v>429.2</v>
      </c>
    </row>
    <row r="42" spans="1:11" ht="13.15" x14ac:dyDescent="0.4">
      <c r="A42" s="15" t="s">
        <v>46</v>
      </c>
      <c r="B42" s="16">
        <v>410.5</v>
      </c>
      <c r="C42" s="16">
        <v>518.5</v>
      </c>
      <c r="D42" s="16" t="s">
        <v>224</v>
      </c>
      <c r="E42" s="16">
        <v>-0.3</v>
      </c>
      <c r="F42" s="69" t="s">
        <v>226</v>
      </c>
      <c r="G42" s="16">
        <f t="shared" si="0"/>
        <v>518.20000000000005</v>
      </c>
      <c r="I42" s="15" t="s">
        <v>103</v>
      </c>
      <c r="J42" s="16">
        <v>118.5</v>
      </c>
      <c r="K42" s="16">
        <v>429.2</v>
      </c>
    </row>
    <row r="43" spans="1:11" ht="13.15" x14ac:dyDescent="0.4">
      <c r="A43" s="15" t="s">
        <v>47</v>
      </c>
      <c r="B43" s="16">
        <v>403.1</v>
      </c>
      <c r="C43" s="16">
        <v>511.4</v>
      </c>
      <c r="D43" s="16" t="s">
        <v>224</v>
      </c>
      <c r="E43" s="16">
        <v>6.8</v>
      </c>
      <c r="F43" s="69" t="s">
        <v>226</v>
      </c>
      <c r="G43" s="16">
        <f t="shared" si="0"/>
        <v>518.19999999999993</v>
      </c>
      <c r="I43" s="15" t="s">
        <v>104</v>
      </c>
      <c r="J43" s="16">
        <v>108.4</v>
      </c>
      <c r="K43" s="16">
        <v>429.1</v>
      </c>
    </row>
    <row r="44" spans="1:11" ht="13.15" x14ac:dyDescent="0.4">
      <c r="A44" s="15" t="s">
        <v>48</v>
      </c>
      <c r="B44" s="16">
        <v>399</v>
      </c>
      <c r="C44" s="16">
        <v>498.2</v>
      </c>
      <c r="D44" s="16" t="s">
        <v>224</v>
      </c>
      <c r="E44" s="16">
        <v>20</v>
      </c>
      <c r="F44" s="69" t="s">
        <v>226</v>
      </c>
      <c r="G44" s="16">
        <f t="shared" si="0"/>
        <v>518.20000000000005</v>
      </c>
      <c r="I44" s="15" t="s">
        <v>105</v>
      </c>
      <c r="J44" s="16">
        <v>97.2</v>
      </c>
      <c r="K44" s="16">
        <v>429</v>
      </c>
    </row>
    <row r="45" spans="1:11" ht="13.15" x14ac:dyDescent="0.4">
      <c r="A45" s="70" t="s">
        <v>234</v>
      </c>
      <c r="B45" s="16">
        <v>383.9</v>
      </c>
      <c r="C45" s="16">
        <v>518.20000000000005</v>
      </c>
      <c r="D45" s="16" t="s">
        <v>224</v>
      </c>
      <c r="E45" s="71">
        <v>525</v>
      </c>
      <c r="F45" s="69" t="s">
        <v>226</v>
      </c>
      <c r="G45" s="16">
        <v>518.20000000000005</v>
      </c>
      <c r="I45" s="15" t="s">
        <v>106</v>
      </c>
      <c r="J45" s="16">
        <v>88.5</v>
      </c>
      <c r="K45" s="16">
        <v>429</v>
      </c>
    </row>
    <row r="46" spans="1:11" ht="13.15" x14ac:dyDescent="0.4">
      <c r="A46" s="15" t="s">
        <v>50</v>
      </c>
      <c r="B46" s="16">
        <v>383.8</v>
      </c>
      <c r="C46" s="16">
        <v>500</v>
      </c>
      <c r="D46" s="16" t="s">
        <v>224</v>
      </c>
      <c r="E46" s="16">
        <v>18.2</v>
      </c>
      <c r="F46" s="69" t="s">
        <v>226</v>
      </c>
      <c r="G46" s="16">
        <f t="shared" si="0"/>
        <v>518.20000000000005</v>
      </c>
      <c r="I46" s="15" t="s">
        <v>107</v>
      </c>
      <c r="J46" s="16">
        <v>80.2</v>
      </c>
      <c r="K46" s="16">
        <v>429</v>
      </c>
    </row>
    <row r="47" spans="1:11" ht="13.15" x14ac:dyDescent="0.4">
      <c r="A47" s="15" t="s">
        <v>51</v>
      </c>
      <c r="B47" s="16">
        <v>364.3</v>
      </c>
      <c r="C47" s="16">
        <v>518.20000000000005</v>
      </c>
      <c r="D47" s="16" t="s">
        <v>224</v>
      </c>
      <c r="E47" s="16">
        <v>0</v>
      </c>
      <c r="F47" s="69" t="s">
        <v>226</v>
      </c>
      <c r="G47" s="16">
        <f t="shared" si="0"/>
        <v>518.20000000000005</v>
      </c>
      <c r="I47" s="15" t="s">
        <v>245</v>
      </c>
      <c r="J47" s="16">
        <v>80.2</v>
      </c>
      <c r="K47" s="16">
        <v>419.6</v>
      </c>
    </row>
    <row r="48" spans="1:11" ht="13.15" x14ac:dyDescent="0.4">
      <c r="A48" s="70" t="s">
        <v>235</v>
      </c>
      <c r="B48" s="16">
        <v>364.3</v>
      </c>
      <c r="C48" s="16">
        <v>477.8</v>
      </c>
      <c r="D48" s="16" t="s">
        <v>224</v>
      </c>
      <c r="E48" s="16">
        <v>2.2000000000000002</v>
      </c>
      <c r="F48" s="69" t="s">
        <v>226</v>
      </c>
      <c r="G48" s="16">
        <f t="shared" si="0"/>
        <v>480</v>
      </c>
      <c r="I48" s="15" t="s">
        <v>246</v>
      </c>
      <c r="J48" s="16" t="s">
        <v>238</v>
      </c>
      <c r="K48" s="16" t="s">
        <v>238</v>
      </c>
    </row>
    <row r="49" spans="1:9" ht="13.15" x14ac:dyDescent="0.4">
      <c r="A49" s="15" t="s">
        <v>53</v>
      </c>
      <c r="B49" s="16">
        <v>359.9</v>
      </c>
      <c r="C49" s="72">
        <v>472.95</v>
      </c>
      <c r="D49" s="16" t="s">
        <v>224</v>
      </c>
      <c r="E49" s="71">
        <v>6.6</v>
      </c>
      <c r="F49" s="69" t="s">
        <v>226</v>
      </c>
      <c r="G49" s="16">
        <f t="shared" si="0"/>
        <v>479.55</v>
      </c>
    </row>
    <row r="50" spans="1:9" ht="13.15" x14ac:dyDescent="0.4">
      <c r="A50" s="15" t="s">
        <v>54</v>
      </c>
      <c r="B50" s="16">
        <v>352.9</v>
      </c>
      <c r="C50" s="16">
        <v>472.7</v>
      </c>
      <c r="D50" s="16" t="s">
        <v>224</v>
      </c>
      <c r="E50" s="71">
        <v>6.3</v>
      </c>
      <c r="F50" s="69" t="s">
        <v>226</v>
      </c>
      <c r="G50" s="16">
        <f t="shared" si="0"/>
        <v>479</v>
      </c>
    </row>
    <row r="51" spans="1:9" ht="13.15" x14ac:dyDescent="0.4">
      <c r="A51" s="70" t="s">
        <v>236</v>
      </c>
      <c r="B51" s="16">
        <v>343.2</v>
      </c>
      <c r="C51" s="16">
        <v>468.5</v>
      </c>
      <c r="D51" s="16" t="s">
        <v>224</v>
      </c>
      <c r="E51" s="71">
        <v>8</v>
      </c>
      <c r="F51" s="69" t="s">
        <v>226</v>
      </c>
      <c r="G51" s="16">
        <f t="shared" si="0"/>
        <v>476.5</v>
      </c>
    </row>
    <row r="52" spans="1:9" ht="13.15" x14ac:dyDescent="0.4">
      <c r="A52" s="15" t="s">
        <v>56</v>
      </c>
      <c r="B52" s="16">
        <v>343.2</v>
      </c>
      <c r="C52" s="16">
        <v>468.5</v>
      </c>
      <c r="D52" s="16" t="s">
        <v>224</v>
      </c>
      <c r="E52" s="16">
        <v>1.5</v>
      </c>
      <c r="F52" s="69" t="s">
        <v>226</v>
      </c>
      <c r="G52" s="16">
        <f t="shared" si="0"/>
        <v>470</v>
      </c>
    </row>
    <row r="53" spans="1:9" ht="13.15" x14ac:dyDescent="0.4">
      <c r="A53" s="15" t="s">
        <v>57</v>
      </c>
      <c r="B53" s="16">
        <v>336</v>
      </c>
      <c r="C53" s="16">
        <v>464.6</v>
      </c>
      <c r="D53" s="16" t="s">
        <v>224</v>
      </c>
      <c r="E53" s="16">
        <v>5.4</v>
      </c>
      <c r="F53" s="69" t="s">
        <v>226</v>
      </c>
      <c r="G53" s="16">
        <f t="shared" si="0"/>
        <v>470</v>
      </c>
    </row>
    <row r="54" spans="1:9" ht="13.15" x14ac:dyDescent="0.4">
      <c r="A54" s="15" t="s">
        <v>58</v>
      </c>
      <c r="B54" s="16">
        <v>327</v>
      </c>
      <c r="C54" s="16">
        <v>458.6</v>
      </c>
      <c r="D54" s="16" t="s">
        <v>224</v>
      </c>
      <c r="E54" s="16">
        <v>11.4</v>
      </c>
      <c r="F54" s="69" t="s">
        <v>226</v>
      </c>
      <c r="G54" s="16">
        <f t="shared" si="0"/>
        <v>470</v>
      </c>
      <c r="I54" s="24" t="s">
        <v>180</v>
      </c>
    </row>
    <row r="55" spans="1:9" ht="13.15" x14ac:dyDescent="0.4">
      <c r="A55" s="15" t="s">
        <v>59</v>
      </c>
      <c r="B55" s="16">
        <v>324.89999999999998</v>
      </c>
      <c r="C55" s="16">
        <v>457.8</v>
      </c>
      <c r="D55" s="16" t="s">
        <v>224</v>
      </c>
      <c r="E55" s="16">
        <v>12.2</v>
      </c>
      <c r="F55" s="69" t="s">
        <v>226</v>
      </c>
      <c r="G55" s="16">
        <f t="shared" si="0"/>
        <v>470</v>
      </c>
      <c r="I55" s="24" t="s">
        <v>272</v>
      </c>
    </row>
    <row r="56" spans="1:9" ht="13.15" x14ac:dyDescent="0.4">
      <c r="A56" s="15" t="s">
        <v>60</v>
      </c>
      <c r="B56" s="16">
        <v>324.89999999999998</v>
      </c>
      <c r="C56" s="16">
        <v>457.8</v>
      </c>
      <c r="D56" s="16" t="s">
        <v>224</v>
      </c>
      <c r="E56" s="16">
        <v>1.7</v>
      </c>
      <c r="F56" s="69" t="s">
        <v>226</v>
      </c>
      <c r="G56" s="16">
        <f t="shared" si="0"/>
        <v>459.5</v>
      </c>
      <c r="I56" s="24" t="s">
        <v>273</v>
      </c>
    </row>
    <row r="57" spans="1:9" ht="13.15" x14ac:dyDescent="0.4">
      <c r="A57" s="15" t="s">
        <v>61</v>
      </c>
      <c r="B57" s="16">
        <v>320</v>
      </c>
      <c r="C57" s="16">
        <v>454.6</v>
      </c>
      <c r="D57" s="16" t="s">
        <v>224</v>
      </c>
      <c r="E57" s="16">
        <v>4.9000000000000004</v>
      </c>
      <c r="F57" s="69" t="s">
        <v>226</v>
      </c>
      <c r="G57" s="16">
        <f t="shared" si="0"/>
        <v>459.5</v>
      </c>
      <c r="I57" s="24" t="s">
        <v>274</v>
      </c>
    </row>
    <row r="58" spans="1:9" ht="13.15" x14ac:dyDescent="0.4">
      <c r="A58" s="15" t="s">
        <v>62</v>
      </c>
      <c r="B58" s="16">
        <v>309.8</v>
      </c>
      <c r="C58" s="16">
        <v>449.5</v>
      </c>
      <c r="D58" s="16" t="s">
        <v>224</v>
      </c>
      <c r="E58" s="16">
        <v>10</v>
      </c>
      <c r="F58" s="69" t="s">
        <v>226</v>
      </c>
      <c r="G58" s="16">
        <f t="shared" si="0"/>
        <v>459.5</v>
      </c>
    </row>
    <row r="59" spans="1:9" ht="13.15" x14ac:dyDescent="0.4">
      <c r="A59" s="15" t="s">
        <v>63</v>
      </c>
      <c r="B59" s="16">
        <v>301.2</v>
      </c>
      <c r="C59" s="16">
        <v>446.1</v>
      </c>
      <c r="D59" s="16" t="s">
        <v>224</v>
      </c>
      <c r="E59" s="16">
        <v>13.4</v>
      </c>
      <c r="F59" s="69" t="s">
        <v>226</v>
      </c>
      <c r="G59" s="16">
        <f t="shared" si="0"/>
        <v>459.5</v>
      </c>
    </row>
    <row r="60" spans="1:9" ht="13.15" x14ac:dyDescent="0.4">
      <c r="A60" s="15" t="s">
        <v>64</v>
      </c>
      <c r="B60" s="16">
        <v>301.2</v>
      </c>
      <c r="C60" s="16">
        <v>446.1</v>
      </c>
      <c r="D60" s="16" t="s">
        <v>224</v>
      </c>
      <c r="E60" s="16">
        <v>2.9</v>
      </c>
      <c r="F60" s="69" t="s">
        <v>226</v>
      </c>
      <c r="G60" s="16">
        <f>C60+E60</f>
        <v>449</v>
      </c>
    </row>
    <row r="61" spans="1:9" ht="13.15" x14ac:dyDescent="0.4">
      <c r="A61" s="15" t="s">
        <v>237</v>
      </c>
      <c r="B61" s="16" t="s">
        <v>238</v>
      </c>
      <c r="C61" s="16" t="s">
        <v>238</v>
      </c>
      <c r="D61" s="16" t="s">
        <v>238</v>
      </c>
      <c r="E61" s="16" t="s">
        <v>238</v>
      </c>
      <c r="F61" s="73" t="s">
        <v>238</v>
      </c>
      <c r="G61" s="16" t="s">
        <v>238</v>
      </c>
    </row>
    <row r="65" spans="1:4" ht="13.15" x14ac:dyDescent="0.4">
      <c r="A65" s="96" t="s">
        <v>279</v>
      </c>
      <c r="B65" s="87">
        <v>88</v>
      </c>
      <c r="C65" s="88">
        <v>12</v>
      </c>
      <c r="D65" s="89">
        <v>29</v>
      </c>
    </row>
    <row r="66" spans="1:4" ht="15" x14ac:dyDescent="0.4">
      <c r="A66" s="98" t="s">
        <v>282</v>
      </c>
      <c r="B66" s="79">
        <v>0</v>
      </c>
      <c r="C66" s="80">
        <v>0.69</v>
      </c>
      <c r="D66" s="81">
        <v>0.35</v>
      </c>
    </row>
    <row r="67" spans="1:4" ht="15" x14ac:dyDescent="0.4">
      <c r="A67" s="92" t="s">
        <v>273</v>
      </c>
      <c r="B67" s="82">
        <v>-0.69</v>
      </c>
      <c r="C67">
        <v>0</v>
      </c>
      <c r="D67" s="83">
        <v>-0.33</v>
      </c>
    </row>
    <row r="68" spans="1:4" ht="15" x14ac:dyDescent="0.4">
      <c r="A68" s="93" t="s">
        <v>283</v>
      </c>
      <c r="B68" s="84">
        <v>-0.35</v>
      </c>
      <c r="C68" s="85">
        <v>0.33</v>
      </c>
      <c r="D68" s="86">
        <v>0</v>
      </c>
    </row>
    <row r="70" spans="1:4" ht="15" x14ac:dyDescent="0.4">
      <c r="A70" s="95" t="s">
        <v>289</v>
      </c>
    </row>
  </sheetData>
  <mergeCells count="2">
    <mergeCell ref="A1:G1"/>
    <mergeCell ref="I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2"/>
  <sheetViews>
    <sheetView topLeftCell="B1" workbookViewId="0">
      <selection activeCell="C2" sqref="C2"/>
    </sheetView>
  </sheetViews>
  <sheetFormatPr defaultRowHeight="12.75" x14ac:dyDescent="0.35"/>
  <cols>
    <col min="1" max="9" width="72.265625" bestFit="1" customWidth="1"/>
    <col min="10" max="10" width="68.796875" bestFit="1" customWidth="1"/>
    <col min="11" max="11" width="13.1328125" customWidth="1"/>
    <col min="12" max="12" width="3" style="42" customWidth="1"/>
    <col min="13" max="15" width="72.265625" bestFit="1" customWidth="1"/>
    <col min="16" max="19" width="69.59765625" bestFit="1" customWidth="1"/>
    <col min="20" max="20" width="18.73046875" customWidth="1"/>
    <col min="21" max="21" width="20.1328125" customWidth="1"/>
    <col min="22" max="22" width="17.53125" customWidth="1"/>
    <col min="23" max="23" width="17.1328125" customWidth="1"/>
    <col min="24" max="24" width="2.3984375" style="42" customWidth="1"/>
  </cols>
  <sheetData>
    <row r="1" spans="1:23" ht="13.15" thickBot="1" x14ac:dyDescent="0.4">
      <c r="A1" s="133" t="s">
        <v>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43"/>
      <c r="M1" s="131" t="s">
        <v>10</v>
      </c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3" x14ac:dyDescent="0.35">
      <c r="A2" t="s">
        <v>292</v>
      </c>
      <c r="B2" t="s">
        <v>293</v>
      </c>
      <c r="C2" t="s">
        <v>322</v>
      </c>
      <c r="M2" t="s">
        <v>292</v>
      </c>
      <c r="N2" t="s">
        <v>293</v>
      </c>
    </row>
    <row r="3" spans="1:23" x14ac:dyDescent="0.35">
      <c r="A3" s="143" t="s">
        <v>332</v>
      </c>
      <c r="B3" s="143" t="s">
        <v>333</v>
      </c>
      <c r="C3" s="143" t="s">
        <v>325</v>
      </c>
      <c r="M3" s="143" t="s">
        <v>339</v>
      </c>
      <c r="N3" s="143" t="s">
        <v>378</v>
      </c>
    </row>
    <row r="4" spans="1:23" x14ac:dyDescent="0.35">
      <c r="A4" s="143" t="s">
        <v>334</v>
      </c>
      <c r="B4" s="143" t="s">
        <v>335</v>
      </c>
      <c r="C4" s="143" t="s">
        <v>325</v>
      </c>
      <c r="M4" s="143" t="s">
        <v>344</v>
      </c>
      <c r="N4" s="143" t="s">
        <v>378</v>
      </c>
    </row>
    <row r="5" spans="1:23" x14ac:dyDescent="0.35">
      <c r="A5" s="143" t="s">
        <v>336</v>
      </c>
      <c r="B5" s="143" t="s">
        <v>337</v>
      </c>
      <c r="C5" s="143" t="s">
        <v>338</v>
      </c>
      <c r="M5" s="143" t="s">
        <v>349</v>
      </c>
      <c r="N5" s="143" t="s">
        <v>379</v>
      </c>
    </row>
    <row r="6" spans="1:23" x14ac:dyDescent="0.35">
      <c r="A6" s="143" t="s">
        <v>339</v>
      </c>
      <c r="B6" s="143" t="s">
        <v>340</v>
      </c>
      <c r="C6" s="143" t="s">
        <v>341</v>
      </c>
      <c r="M6" s="143" t="s">
        <v>355</v>
      </c>
      <c r="N6" s="143" t="s">
        <v>380</v>
      </c>
    </row>
    <row r="7" spans="1:23" x14ac:dyDescent="0.35">
      <c r="A7" s="143" t="s">
        <v>342</v>
      </c>
      <c r="B7" s="143" t="s">
        <v>340</v>
      </c>
      <c r="C7" s="143" t="s">
        <v>343</v>
      </c>
      <c r="M7" s="143" t="s">
        <v>359</v>
      </c>
      <c r="N7" s="143" t="s">
        <v>381</v>
      </c>
    </row>
    <row r="8" spans="1:23" x14ac:dyDescent="0.35">
      <c r="A8" s="143" t="s">
        <v>344</v>
      </c>
      <c r="B8" s="143" t="s">
        <v>345</v>
      </c>
      <c r="C8" s="143" t="s">
        <v>346</v>
      </c>
      <c r="M8" s="143" t="s">
        <v>365</v>
      </c>
      <c r="N8" s="143" t="s">
        <v>329</v>
      </c>
    </row>
    <row r="9" spans="1:23" x14ac:dyDescent="0.35">
      <c r="A9" s="143" t="s">
        <v>347</v>
      </c>
      <c r="B9" s="143" t="s">
        <v>348</v>
      </c>
      <c r="C9" s="143" t="s">
        <v>346</v>
      </c>
      <c r="M9" s="143" t="s">
        <v>371</v>
      </c>
      <c r="N9" s="143" t="s">
        <v>382</v>
      </c>
    </row>
    <row r="10" spans="1:23" x14ac:dyDescent="0.35">
      <c r="A10" s="143" t="s">
        <v>349</v>
      </c>
      <c r="B10" s="143" t="s">
        <v>350</v>
      </c>
      <c r="C10" s="143" t="s">
        <v>351</v>
      </c>
      <c r="M10" s="143" t="s">
        <v>323</v>
      </c>
      <c r="N10" s="143" t="s">
        <v>383</v>
      </c>
    </row>
    <row r="11" spans="1:23" x14ac:dyDescent="0.35">
      <c r="A11" s="143" t="s">
        <v>352</v>
      </c>
      <c r="B11" s="143" t="s">
        <v>353</v>
      </c>
      <c r="C11" s="143" t="s">
        <v>354</v>
      </c>
      <c r="M11" s="143" t="s">
        <v>187</v>
      </c>
      <c r="N11" s="143" t="s">
        <v>187</v>
      </c>
    </row>
    <row r="12" spans="1:23" x14ac:dyDescent="0.35">
      <c r="A12" s="143" t="s">
        <v>355</v>
      </c>
      <c r="B12" s="143" t="s">
        <v>356</v>
      </c>
      <c r="C12" s="143" t="s">
        <v>346</v>
      </c>
    </row>
    <row r="13" spans="1:23" x14ac:dyDescent="0.35">
      <c r="A13" s="143" t="s">
        <v>357</v>
      </c>
      <c r="B13" s="143" t="s">
        <v>358</v>
      </c>
      <c r="C13" s="143" t="s">
        <v>354</v>
      </c>
    </row>
    <row r="14" spans="1:23" x14ac:dyDescent="0.35">
      <c r="A14" s="143" t="s">
        <v>359</v>
      </c>
      <c r="B14" s="143" t="s">
        <v>360</v>
      </c>
      <c r="C14" s="143" t="s">
        <v>361</v>
      </c>
    </row>
    <row r="15" spans="1:23" x14ac:dyDescent="0.35">
      <c r="A15" s="143" t="s">
        <v>362</v>
      </c>
      <c r="B15" s="143" t="s">
        <v>363</v>
      </c>
      <c r="C15" s="143" t="s">
        <v>364</v>
      </c>
    </row>
    <row r="16" spans="1:23" x14ac:dyDescent="0.35">
      <c r="A16" s="143" t="s">
        <v>365</v>
      </c>
      <c r="B16" s="143" t="s">
        <v>366</v>
      </c>
      <c r="C16" s="143" t="s">
        <v>367</v>
      </c>
    </row>
    <row r="17" spans="1:3" x14ac:dyDescent="0.35">
      <c r="A17" s="143" t="s">
        <v>368</v>
      </c>
      <c r="B17" s="143" t="s">
        <v>369</v>
      </c>
      <c r="C17" s="143" t="s">
        <v>370</v>
      </c>
    </row>
    <row r="18" spans="1:3" x14ac:dyDescent="0.35">
      <c r="A18" s="143" t="s">
        <v>371</v>
      </c>
      <c r="B18" s="143" t="s">
        <v>372</v>
      </c>
      <c r="C18" s="143" t="s">
        <v>373</v>
      </c>
    </row>
    <row r="19" spans="1:3" x14ac:dyDescent="0.35">
      <c r="A19" s="143" t="s">
        <v>374</v>
      </c>
      <c r="B19" s="143" t="s">
        <v>375</v>
      </c>
      <c r="C19" s="143" t="s">
        <v>376</v>
      </c>
    </row>
    <row r="20" spans="1:3" x14ac:dyDescent="0.35">
      <c r="A20" s="143" t="s">
        <v>323</v>
      </c>
      <c r="B20" s="143" t="s">
        <v>324</v>
      </c>
      <c r="C20" s="143" t="s">
        <v>377</v>
      </c>
    </row>
    <row r="21" spans="1:3" x14ac:dyDescent="0.35">
      <c r="A21" s="143" t="s">
        <v>326</v>
      </c>
      <c r="B21" s="143" t="s">
        <v>327</v>
      </c>
      <c r="C21" s="143" t="s">
        <v>328</v>
      </c>
    </row>
    <row r="22" spans="1:3" x14ac:dyDescent="0.35">
      <c r="A22" s="143" t="s">
        <v>187</v>
      </c>
      <c r="B22" s="143" t="s">
        <v>187</v>
      </c>
      <c r="C22" s="143" t="s">
        <v>187</v>
      </c>
    </row>
  </sheetData>
  <mergeCells count="2">
    <mergeCell ref="M1:W1"/>
    <mergeCell ref="A1:K1"/>
  </mergeCells>
  <phoneticPr fontId="1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ECC66-318A-4BB6-8BE1-59F1266CC28C}">
  <sheetPr codeName="Sheet4"/>
  <dimension ref="A1:D37"/>
  <sheetViews>
    <sheetView tabSelected="1" workbookViewId="0">
      <selection activeCell="D24" sqref="D24"/>
    </sheetView>
  </sheetViews>
  <sheetFormatPr defaultRowHeight="12.75" x14ac:dyDescent="0.35"/>
  <cols>
    <col min="1" max="1" width="26.3984375" style="44" customWidth="1"/>
    <col min="2" max="2" width="71.19921875" style="46" customWidth="1"/>
    <col min="3" max="3" width="35.53125" style="44" customWidth="1"/>
    <col min="4" max="4" width="48.265625" style="54" customWidth="1"/>
  </cols>
  <sheetData>
    <row r="1" spans="1:4" ht="15" thickTop="1" thickBot="1" x14ac:dyDescent="0.5">
      <c r="A1" s="107" t="s">
        <v>189</v>
      </c>
      <c r="B1" s="108"/>
      <c r="C1"/>
    </row>
    <row r="2" spans="1:4" ht="15" thickTop="1" thickBot="1" x14ac:dyDescent="0.5">
      <c r="A2" s="50" t="s">
        <v>314</v>
      </c>
      <c r="B2" s="50" t="s">
        <v>315</v>
      </c>
      <c r="C2"/>
    </row>
    <row r="3" spans="1:4" ht="15" thickTop="1" thickBot="1" x14ac:dyDescent="0.5">
      <c r="A3" s="75" t="s">
        <v>186</v>
      </c>
      <c r="B3" s="76">
        <v>46182</v>
      </c>
      <c r="D3" s="52" t="s">
        <v>194</v>
      </c>
    </row>
    <row r="4" spans="1:4" ht="15" thickTop="1" thickBot="1" x14ac:dyDescent="0.5">
      <c r="A4" s="50" t="s">
        <v>247</v>
      </c>
      <c r="B4" s="77">
        <v>0.32222222222222224</v>
      </c>
      <c r="D4" s="52"/>
    </row>
    <row r="5" spans="1:4" ht="15" thickTop="1" thickBot="1" x14ac:dyDescent="0.5">
      <c r="A5" s="50" t="s">
        <v>248</v>
      </c>
      <c r="B5" s="77">
        <v>0.39166666666666666</v>
      </c>
      <c r="D5" s="52"/>
    </row>
    <row r="6" spans="1:4" ht="15" thickTop="1" thickBot="1" x14ac:dyDescent="0.5">
      <c r="A6" s="50" t="s">
        <v>249</v>
      </c>
      <c r="B6" s="77">
        <f>B5-B4</f>
        <v>6.944444444444442E-2</v>
      </c>
      <c r="D6" s="52"/>
    </row>
    <row r="7" spans="1:4" ht="14.65" thickTop="1" x14ac:dyDescent="0.45">
      <c r="A7" s="50" t="s">
        <v>171</v>
      </c>
      <c r="B7" s="51" t="s">
        <v>330</v>
      </c>
      <c r="D7" s="55" t="s">
        <v>192</v>
      </c>
    </row>
    <row r="8" spans="1:4" ht="14.25" x14ac:dyDescent="0.45">
      <c r="A8" s="50" t="s">
        <v>182</v>
      </c>
      <c r="B8" s="51" t="s">
        <v>319</v>
      </c>
      <c r="D8" s="56" t="s">
        <v>193</v>
      </c>
    </row>
    <row r="9" spans="1:4" ht="14.25" x14ac:dyDescent="0.45">
      <c r="A9" s="50" t="s">
        <v>183</v>
      </c>
      <c r="B9" s="51" t="s">
        <v>251</v>
      </c>
    </row>
    <row r="10" spans="1:4" ht="14.25" x14ac:dyDescent="0.45">
      <c r="A10" s="50" t="s">
        <v>250</v>
      </c>
      <c r="B10" s="51" t="s">
        <v>265</v>
      </c>
    </row>
    <row r="11" spans="1:4" ht="14.25" x14ac:dyDescent="0.45">
      <c r="A11" s="50" t="s">
        <v>184</v>
      </c>
      <c r="B11" s="51" t="s">
        <v>181</v>
      </c>
    </row>
    <row r="12" spans="1:4" ht="14.25" x14ac:dyDescent="0.45">
      <c r="A12" s="50" t="s">
        <v>185</v>
      </c>
      <c r="B12" s="51">
        <v>4911.5200000000004</v>
      </c>
    </row>
    <row r="13" spans="1:4" ht="14.25" x14ac:dyDescent="0.45">
      <c r="A13" s="50" t="s">
        <v>190</v>
      </c>
      <c r="B13" s="51">
        <v>2.23</v>
      </c>
    </row>
    <row r="14" spans="1:4" ht="14.25" x14ac:dyDescent="0.45">
      <c r="A14" s="50" t="s">
        <v>191</v>
      </c>
      <c r="B14" s="50" t="s">
        <v>384</v>
      </c>
    </row>
    <row r="15" spans="1:4" ht="14.25" x14ac:dyDescent="0.45">
      <c r="A15" s="50" t="s">
        <v>321</v>
      </c>
      <c r="B15" s="50" t="s">
        <v>331</v>
      </c>
    </row>
    <row r="16" spans="1:4" ht="14.25" x14ac:dyDescent="0.45">
      <c r="A16" s="48" t="s">
        <v>195</v>
      </c>
      <c r="B16" s="48" t="str">
        <f>NTRP!C6&amp;" - "&amp;NTRP!F6</f>
        <v>196.1 - 157.7</v>
      </c>
    </row>
    <row r="17" spans="1:4" ht="14.25" x14ac:dyDescent="0.45">
      <c r="A17" s="48" t="s">
        <v>172</v>
      </c>
      <c r="B17" s="48" t="str" cm="1">
        <f t="array" aca="1" ref="B17" ca="1">IF(NTRP!C5=2,INDIRECT(CONCATENATE("'Gage Data'!E",NTRP!B5)),INDIRECT(CONCATENATE("'Gage Data'!A",NTRP!B5)))</f>
        <v>Henry, Right Bank, staff at old lock</v>
      </c>
    </row>
    <row r="18" spans="1:4" ht="14.25" x14ac:dyDescent="0.45">
      <c r="A18" s="48" t="s">
        <v>173</v>
      </c>
      <c r="B18" s="48" t="str" cm="1">
        <f t="array" aca="1" ref="B18" ca="1">IF(NTRP!C5=2,INDIRECT(CONCATENATE("'Gage Data'!E",NTRP!E5)),INDIRECT(CONCATENATE("'Gage Data'!A",NTRP!E5)))</f>
        <v>Peoria Lock, Pool (upstream side)</v>
      </c>
      <c r="C18" s="45"/>
      <c r="D18" s="78" t="s">
        <v>275</v>
      </c>
    </row>
    <row r="19" spans="1:4" ht="14.25" x14ac:dyDescent="0.45">
      <c r="A19" s="48" t="s">
        <v>176</v>
      </c>
      <c r="B19" s="49">
        <f>NTRP!C7</f>
        <v>440</v>
      </c>
      <c r="C19" s="45"/>
      <c r="D19" s="78" t="s">
        <v>276</v>
      </c>
    </row>
    <row r="20" spans="1:4" ht="14.25" x14ac:dyDescent="0.45">
      <c r="A20" s="48" t="s">
        <v>179</v>
      </c>
      <c r="B20" s="49">
        <f>AVERAGE(NTRP!E16,NTRP!H16)</f>
        <v>441.28791666666666</v>
      </c>
      <c r="D20" s="78" t="s">
        <v>277</v>
      </c>
    </row>
    <row r="21" spans="1:4" ht="14.25" x14ac:dyDescent="0.45">
      <c r="A21" s="48" t="s">
        <v>188</v>
      </c>
      <c r="B21" s="49">
        <f>AVERAGE(NTRP!E14,NTRP!H14)</f>
        <v>1.2879166666666886</v>
      </c>
    </row>
    <row r="22" spans="1:4" ht="14.25" x14ac:dyDescent="0.45">
      <c r="A22" s="48" t="s">
        <v>174</v>
      </c>
      <c r="B22" s="48" t="s">
        <v>180</v>
      </c>
    </row>
    <row r="23" spans="1:4" ht="14.25" x14ac:dyDescent="0.45">
      <c r="A23" s="48" t="s">
        <v>175</v>
      </c>
      <c r="B23" s="48" t="s">
        <v>273</v>
      </c>
    </row>
    <row r="24" spans="1:4" ht="13.15" x14ac:dyDescent="0.4">
      <c r="A24" s="24"/>
      <c r="B24"/>
    </row>
    <row r="25" spans="1:4" x14ac:dyDescent="0.35">
      <c r="A25"/>
      <c r="B25"/>
      <c r="C25" s="45" t="s">
        <v>318</v>
      </c>
      <c r="D25" s="106">
        <v>0.13</v>
      </c>
    </row>
    <row r="26" spans="1:4" ht="14.25" x14ac:dyDescent="0.45">
      <c r="A26"/>
      <c r="B26"/>
      <c r="C26" s="103" t="s">
        <v>316</v>
      </c>
      <c r="D26" s="105" t="s">
        <v>320</v>
      </c>
    </row>
    <row r="27" spans="1:4" ht="14.25" x14ac:dyDescent="0.45">
      <c r="A27"/>
      <c r="B27"/>
      <c r="C27" s="103" t="s">
        <v>317</v>
      </c>
      <c r="D27" s="104">
        <v>46182</v>
      </c>
    </row>
    <row r="28" spans="1:4" x14ac:dyDescent="0.35">
      <c r="A28"/>
      <c r="B28"/>
      <c r="C28"/>
    </row>
    <row r="29" spans="1:4" x14ac:dyDescent="0.35">
      <c r="A29"/>
      <c r="B29"/>
      <c r="C29"/>
    </row>
    <row r="30" spans="1:4" x14ac:dyDescent="0.35">
      <c r="A30"/>
      <c r="B30"/>
      <c r="C30"/>
    </row>
    <row r="31" spans="1:4" x14ac:dyDescent="0.35">
      <c r="A31"/>
      <c r="B31"/>
      <c r="C31"/>
    </row>
    <row r="32" spans="1:4" x14ac:dyDescent="0.35">
      <c r="A32"/>
      <c r="B32"/>
      <c r="C32"/>
    </row>
    <row r="33" spans="1:3" x14ac:dyDescent="0.35">
      <c r="A33"/>
      <c r="B33"/>
      <c r="C33"/>
    </row>
    <row r="34" spans="1:3" x14ac:dyDescent="0.35">
      <c r="A34"/>
      <c r="B34"/>
      <c r="C34"/>
    </row>
    <row r="35" spans="1:3" x14ac:dyDescent="0.35">
      <c r="A35"/>
      <c r="B35"/>
      <c r="C35"/>
    </row>
    <row r="36" spans="1:3" x14ac:dyDescent="0.35">
      <c r="A36"/>
      <c r="B36"/>
    </row>
    <row r="37" spans="1:3" x14ac:dyDescent="0.35">
      <c r="A37"/>
      <c r="B37"/>
    </row>
  </sheetData>
  <mergeCells count="1">
    <mergeCell ref="A1:B1"/>
  </mergeCells>
  <phoneticPr fontId="18" type="noConversion"/>
  <dataValidations count="1">
    <dataValidation type="list" allowBlank="1" showInputMessage="1" showErrorMessage="1" sqref="B2" xr:uid="{5AA89CB8-1C38-44ED-976F-E8229063188A}">
      <formula1>"Pre Dredge, Post Dredge, Scour, Interim, Conditions"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B2E558-4CEB-4BF4-910B-BD48CA04D86B}">
          <x14:formula1>
            <xm:f>'FLAT POOL ELE.'!$A$63:$A$71</xm:f>
          </x14:formula1>
          <xm:sqref>B9</xm:sqref>
        </x14:dataValidation>
        <x14:dataValidation type="list" allowBlank="1" showInputMessage="1" showErrorMessage="1" xr:uid="{00856173-44BC-48C9-AC6B-62002414FDA4}">
          <x14:formula1>
            <xm:f>'FLAT POOL ELE.'!$A$73:$A$84</xm:f>
          </x14:formula1>
          <xm:sqref>B10</xm:sqref>
        </x14:dataValidation>
        <x14:dataValidation type="list" allowBlank="1" showInputMessage="1" showErrorMessage="1" xr:uid="{3EE0D9B1-244E-4FD8-BB01-06D81F2F04B3}">
          <x14:formula1>
            <xm:f>'GAGE ZERO DATA'!$I$54:$I$55</xm:f>
          </x14:formula1>
          <xm:sqref>B22 B36</xm:sqref>
        </x14:dataValidation>
        <x14:dataValidation type="list" allowBlank="1" showInputMessage="1" showErrorMessage="1" xr:uid="{C6031172-E90F-45BF-9525-C0E6DF0CCBF3}">
          <x14:formula1>
            <xm:f>'GAGE ZERO DATA'!$I$56:$I$57</xm:f>
          </x14:formula1>
          <xm:sqref>B23 A37:B37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30207-9EBA-4D9A-B915-705B4D9C7727}">
  <sheetPr codeName="Sheet7"/>
  <dimension ref="A1:P13"/>
  <sheetViews>
    <sheetView workbookViewId="0">
      <selection activeCell="I13" sqref="I13"/>
    </sheetView>
  </sheetViews>
  <sheetFormatPr defaultRowHeight="12.75" x14ac:dyDescent="0.35"/>
  <cols>
    <col min="1" max="1" width="13.33203125" customWidth="1"/>
    <col min="3" max="4" width="14.33203125" customWidth="1"/>
    <col min="5" max="5" width="3.1328125" customWidth="1"/>
    <col min="7" max="7" width="2.1328125" customWidth="1"/>
    <col min="8" max="9" width="14.33203125" customWidth="1"/>
    <col min="10" max="10" width="13" customWidth="1"/>
    <col min="15" max="15" width="31.33203125" customWidth="1"/>
    <col min="16" max="16" width="33.86328125" customWidth="1"/>
  </cols>
  <sheetData>
    <row r="1" spans="1:16" ht="22.5" customHeight="1" x14ac:dyDescent="0.35">
      <c r="B1" s="102"/>
      <c r="C1" s="102"/>
      <c r="D1" s="102"/>
      <c r="E1" s="102"/>
      <c r="F1" s="102"/>
    </row>
    <row r="2" spans="1:16" ht="19.5" customHeight="1" x14ac:dyDescent="0.35">
      <c r="A2" s="102"/>
      <c r="B2" s="102"/>
      <c r="C2" s="102"/>
      <c r="D2" s="102"/>
      <c r="E2" s="102"/>
      <c r="F2" s="102"/>
    </row>
    <row r="3" spans="1:16" ht="36" customHeight="1" x14ac:dyDescent="0.35">
      <c r="A3" s="29"/>
      <c r="B3" s="29"/>
      <c r="C3" s="136" t="s">
        <v>284</v>
      </c>
      <c r="D3" s="136"/>
      <c r="E3" s="136"/>
      <c r="F3" s="136"/>
      <c r="G3" s="136"/>
      <c r="H3" s="136"/>
      <c r="I3" s="136"/>
    </row>
    <row r="4" spans="1:16" ht="12.75" customHeight="1" x14ac:dyDescent="0.35">
      <c r="A4" s="29"/>
      <c r="B4" s="29"/>
      <c r="C4" s="29"/>
      <c r="D4" s="29"/>
    </row>
    <row r="5" spans="1:16" ht="14.25" customHeight="1" x14ac:dyDescent="0.35"/>
    <row r="6" spans="1:16" ht="14.25" customHeight="1" x14ac:dyDescent="0.35"/>
    <row r="7" spans="1:16" ht="11.25" customHeight="1" x14ac:dyDescent="0.35"/>
    <row r="8" spans="1:16" ht="18.75" customHeight="1" thickBot="1" x14ac:dyDescent="0.6">
      <c r="C8">
        <v>1</v>
      </c>
      <c r="D8" s="29"/>
      <c r="F8" s="91" t="s">
        <v>281</v>
      </c>
      <c r="H8" s="29"/>
      <c r="I8">
        <v>1</v>
      </c>
    </row>
    <row r="9" spans="1:16" ht="29.25" customHeight="1" thickBot="1" x14ac:dyDescent="0.7">
      <c r="C9" s="141"/>
      <c r="D9" s="142"/>
      <c r="F9" s="90"/>
      <c r="H9" s="141" t="str">
        <f xml:space="preserve"> IFERROR(IF(OR($C$8 =1, $I$8 = 1, $C$9 = 0), "---", $C$9 +$F$12), "---")</f>
        <v>---</v>
      </c>
      <c r="I9" s="142"/>
      <c r="O9" s="134" t="s">
        <v>291</v>
      </c>
      <c r="P9" s="135"/>
    </row>
    <row r="10" spans="1:16" ht="24" customHeight="1" x14ac:dyDescent="0.35">
      <c r="O10" s="139" t="s">
        <v>285</v>
      </c>
      <c r="P10" s="140"/>
    </row>
    <row r="11" spans="1:16" ht="24" customHeight="1" thickBot="1" x14ac:dyDescent="0.4">
      <c r="O11" s="139" t="s">
        <v>286</v>
      </c>
      <c r="P11" s="140"/>
    </row>
    <row r="12" spans="1:16" ht="24" customHeight="1" thickBot="1" x14ac:dyDescent="0.55000000000000004">
      <c r="C12" s="94" t="s">
        <v>280</v>
      </c>
      <c r="D12" s="99"/>
      <c r="E12" s="100" t="s">
        <v>226</v>
      </c>
      <c r="F12" s="101"/>
      <c r="O12" s="139" t="s">
        <v>287</v>
      </c>
      <c r="P12" s="140"/>
    </row>
    <row r="13" spans="1:16" ht="24" customHeight="1" thickBot="1" x14ac:dyDescent="0.4">
      <c r="O13" s="137" t="s">
        <v>288</v>
      </c>
      <c r="P13" s="138"/>
    </row>
  </sheetData>
  <mergeCells count="8">
    <mergeCell ref="O9:P9"/>
    <mergeCell ref="C3:I3"/>
    <mergeCell ref="O13:P13"/>
    <mergeCell ref="O10:P10"/>
    <mergeCell ref="O11:P11"/>
    <mergeCell ref="O12:P12"/>
    <mergeCell ref="C9:D9"/>
    <mergeCell ref="H9:I9"/>
  </mergeCells>
  <conditionalFormatting sqref="C9:D9">
    <cfRule type="cellIs" dxfId="6" priority="2" stopIfTrue="1" operator="equal">
      <formula>"---"</formula>
    </cfRule>
  </conditionalFormatting>
  <conditionalFormatting sqref="H9:I9">
    <cfRule type="cellIs" dxfId="5" priority="1" stopIfTrue="1" operator="equal">
      <formula>"---"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 macro="[0]!Converter1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19050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 macro="[0]!Converter2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autoFill="0" autoPict="0" macro="[0]!Swap">
                <anchor moveWithCells="1" sizeWithCells="1">
                  <from>
                    <xdr:col>5</xdr:col>
                    <xdr:colOff>9525</xdr:colOff>
                    <xdr:row>8</xdr:row>
                    <xdr:rowOff>9525</xdr:rowOff>
                  </from>
                  <to>
                    <xdr:col>5</xdr:col>
                    <xdr:colOff>600075</xdr:colOff>
                    <xdr:row>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C6E8A4FBDAC144A6D57EDE808ECD04" ma:contentTypeVersion="4" ma:contentTypeDescription="Create a new document." ma:contentTypeScope="" ma:versionID="b1293e56c95d4b7589899fe4600a7f8a">
  <xsd:schema xmlns:xsd="http://www.w3.org/2001/XMLSchema" xmlns:xs="http://www.w3.org/2001/XMLSchema" xmlns:p="http://schemas.microsoft.com/office/2006/metadata/properties" xmlns:ns2="b540c008-8da4-477c-bfac-3ecd1dd2180b" targetNamespace="http://schemas.microsoft.com/office/2006/metadata/properties" ma:root="true" ma:fieldsID="a71845034ded7fe246c5755636a894f2" ns2:_="">
    <xsd:import namespace="b540c008-8da4-477c-bfac-3ecd1dd218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0c008-8da4-477c-bfac-3ecd1dd218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D192DF51-615D-4003-8B02-68F7B9EC05F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F12E52-FB8B-4227-B2CE-5386143D8F5D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540c008-8da4-477c-bfac-3ecd1dd2180b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001933-014C-4B5B-A33D-A784F3A548F8}">
  <ds:schemaRefs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b540c008-8da4-477c-bfac-3ecd1dd2180b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9C43FBD-7861-4A3F-9831-A4D4D455D9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NTRP</vt:lpstr>
      <vt:lpstr>FLAT POOL ELE.</vt:lpstr>
      <vt:lpstr>Gage Data</vt:lpstr>
      <vt:lpstr>GAGE ZERO DATA</vt:lpstr>
      <vt:lpstr>RG_DATA</vt:lpstr>
      <vt:lpstr>Meta Data</vt:lpstr>
      <vt:lpstr>Elevation Converter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Interpolator</dc:title>
  <dc:subject>Hydro Survey</dc:subject>
  <dc:creator>Adam Ziegler</dc:creator>
  <cp:keywords>Hydro survey interpolate</cp:keywords>
  <cp:lastModifiedBy>corp of engineers</cp:lastModifiedBy>
  <cp:revision>1</cp:revision>
  <cp:lastPrinted>2002-10-22T19:16:07Z</cp:lastPrinted>
  <dcterms:created xsi:type="dcterms:W3CDTF">2003-09-23T14:27:06Z</dcterms:created>
  <dcterms:modified xsi:type="dcterms:W3CDTF">2026-06-09T15:13:11Z</dcterms:modified>
  <cp:category>Tool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urpose">
    <vt:lpwstr>To Interpolate between river gages</vt:lpwstr>
  </property>
  <property fmtid="{D5CDD505-2E9C-101B-9397-08002B2CF9AE}" pid="3" name="Date Completed">
    <vt:lpwstr>10-08-03</vt:lpwstr>
  </property>
  <property fmtid="{D5CDD505-2E9C-101B-9397-08002B2CF9AE}" pid="4" name="ContentTypeId">
    <vt:lpwstr>0x01010019C6E8A4FBDAC144A6D57EDE808ECD04</vt:lpwstr>
  </property>
  <property fmtid="{D5CDD505-2E9C-101B-9397-08002B2CF9AE}" pid="5" name="Folder_Number">
    <vt:lpwstr/>
  </property>
  <property fmtid="{D5CDD505-2E9C-101B-9397-08002B2CF9AE}" pid="6" name="Folder_Code">
    <vt:lpwstr/>
  </property>
  <property fmtid="{D5CDD505-2E9C-101B-9397-08002B2CF9AE}" pid="7" name="Folder_Name">
    <vt:lpwstr/>
  </property>
  <property fmtid="{D5CDD505-2E9C-101B-9397-08002B2CF9AE}" pid="8" name="Folder_Description">
    <vt:lpwstr/>
  </property>
  <property fmtid="{D5CDD505-2E9C-101B-9397-08002B2CF9AE}" pid="9" name="/Folder_Name/">
    <vt:lpwstr/>
  </property>
  <property fmtid="{D5CDD505-2E9C-101B-9397-08002B2CF9AE}" pid="10" name="/Folder_Description/">
    <vt:lpwstr/>
  </property>
  <property fmtid="{D5CDD505-2E9C-101B-9397-08002B2CF9AE}" pid="11" name="Folder_Version">
    <vt:lpwstr/>
  </property>
  <property fmtid="{D5CDD505-2E9C-101B-9397-08002B2CF9AE}" pid="12" name="Folder_VersionSeq">
    <vt:lpwstr/>
  </property>
  <property fmtid="{D5CDD505-2E9C-101B-9397-08002B2CF9AE}" pid="13" name="Folder_Manager">
    <vt:lpwstr/>
  </property>
  <property fmtid="{D5CDD505-2E9C-101B-9397-08002B2CF9AE}" pid="14" name="Folder_ManagerDesc">
    <vt:lpwstr/>
  </property>
  <property fmtid="{D5CDD505-2E9C-101B-9397-08002B2CF9AE}" pid="15" name="Folder_Storage">
    <vt:lpwstr/>
  </property>
  <property fmtid="{D5CDD505-2E9C-101B-9397-08002B2CF9AE}" pid="16" name="Folder_StorageDesc">
    <vt:lpwstr/>
  </property>
  <property fmtid="{D5CDD505-2E9C-101B-9397-08002B2CF9AE}" pid="17" name="Folder_Creator">
    <vt:lpwstr/>
  </property>
  <property fmtid="{D5CDD505-2E9C-101B-9397-08002B2CF9AE}" pid="18" name="Folder_CreatorDesc">
    <vt:lpwstr/>
  </property>
  <property fmtid="{D5CDD505-2E9C-101B-9397-08002B2CF9AE}" pid="19" name="Folder_CreateDate">
    <vt:lpwstr/>
  </property>
  <property fmtid="{D5CDD505-2E9C-101B-9397-08002B2CF9AE}" pid="20" name="Folder_Updater">
    <vt:lpwstr/>
  </property>
  <property fmtid="{D5CDD505-2E9C-101B-9397-08002B2CF9AE}" pid="21" name="Folder_UpdaterDesc">
    <vt:lpwstr/>
  </property>
  <property fmtid="{D5CDD505-2E9C-101B-9397-08002B2CF9AE}" pid="22" name="Folder_UpdateDate">
    <vt:lpwstr/>
  </property>
  <property fmtid="{D5CDD505-2E9C-101B-9397-08002B2CF9AE}" pid="23" name="Document_Number">
    <vt:lpwstr/>
  </property>
  <property fmtid="{D5CDD505-2E9C-101B-9397-08002B2CF9AE}" pid="24" name="Document_Name">
    <vt:lpwstr/>
  </property>
  <property fmtid="{D5CDD505-2E9C-101B-9397-08002B2CF9AE}" pid="25" name="Document_FileName">
    <vt:lpwstr/>
  </property>
  <property fmtid="{D5CDD505-2E9C-101B-9397-08002B2CF9AE}" pid="26" name="Document_Version">
    <vt:lpwstr/>
  </property>
  <property fmtid="{D5CDD505-2E9C-101B-9397-08002B2CF9AE}" pid="27" name="Document_VersionSeq">
    <vt:lpwstr/>
  </property>
  <property fmtid="{D5CDD505-2E9C-101B-9397-08002B2CF9AE}" pid="28" name="Document_Creator">
    <vt:lpwstr/>
  </property>
  <property fmtid="{D5CDD505-2E9C-101B-9397-08002B2CF9AE}" pid="29" name="Document_CreatorDesc">
    <vt:lpwstr/>
  </property>
  <property fmtid="{D5CDD505-2E9C-101B-9397-08002B2CF9AE}" pid="30" name="Document_CreateDate">
    <vt:lpwstr/>
  </property>
  <property fmtid="{D5CDD505-2E9C-101B-9397-08002B2CF9AE}" pid="31" name="Document_Updater">
    <vt:lpwstr/>
  </property>
  <property fmtid="{D5CDD505-2E9C-101B-9397-08002B2CF9AE}" pid="32" name="Document_UpdaterDesc">
    <vt:lpwstr/>
  </property>
  <property fmtid="{D5CDD505-2E9C-101B-9397-08002B2CF9AE}" pid="33" name="Document_UpdateDate">
    <vt:lpwstr/>
  </property>
  <property fmtid="{D5CDD505-2E9C-101B-9397-08002B2CF9AE}" pid="34" name="Document_Size">
    <vt:lpwstr/>
  </property>
  <property fmtid="{D5CDD505-2E9C-101B-9397-08002B2CF9AE}" pid="35" name="Document_Storage">
    <vt:lpwstr/>
  </property>
  <property fmtid="{D5CDD505-2E9C-101B-9397-08002B2CF9AE}" pid="36" name="Document_StorageDesc">
    <vt:lpwstr/>
  </property>
  <property fmtid="{D5CDD505-2E9C-101B-9397-08002B2CF9AE}" pid="37" name="Document_Department">
    <vt:lpwstr/>
  </property>
  <property fmtid="{D5CDD505-2E9C-101B-9397-08002B2CF9AE}" pid="38" name="Document_DepartmentDesc">
    <vt:lpwstr/>
  </property>
  <property fmtid="{D5CDD505-2E9C-101B-9397-08002B2CF9AE}" pid="39" name="ESRI_WORKBOOK_ID">
    <vt:lpwstr>d046cd9d1f5448b5bb24b44df812644f</vt:lpwstr>
  </property>
</Properties>
</file>